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提条件" sheetId="1" state="visible" r:id="rId1"/>
    <sheet name="DC事業" sheetId="2" state="visible" r:id="rId2"/>
    <sheet name="規模別比較" sheetId="3" state="visible" r:id="rId3"/>
    <sheet name="感度分析" sheetId="4" state="visible" r:id="rId4"/>
    <sheet name="残余法" sheetId="5" state="visible" r:id="rId5"/>
    <sheet name="保有コス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&quot;億&quot;"/>
    <numFmt numFmtId="166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2" fillId="0" borderId="0" pivotButton="0" quotePrefix="0" xfId="0"/>
    <xf numFmtId="3" fontId="0" fillId="0" borderId="0" pivotButton="0" quotePrefix="0" xfId="0"/>
    <xf numFmtId="2" fontId="3" fillId="0" borderId="1" pivotButton="0" quotePrefix="0" xfId="0"/>
    <xf numFmtId="3" fontId="0" fillId="0" borderId="1" pivotButton="0" quotePrefix="0" xfId="0"/>
    <xf numFmtId="3" fontId="2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2" fillId="0" borderId="0" pivotButton="0" quotePrefix="0" xfId="0"/>
    <xf numFmtId="166" fontId="0" fillId="0" borderId="1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56" customWidth="1" min="3" max="3"/>
  </cols>
  <sheetData>
    <row r="1">
      <c r="A1" s="1" t="inlineStr">
        <is>
          <t>姫路市夢前町戸倉 日生学園跡地 33.6ha  DC用地検討 前提条件　※青字は変更可</t>
        </is>
      </c>
    </row>
    <row r="3">
      <c r="A3" s="2" t="inlineStr">
        <is>
          <t>項目</t>
        </is>
      </c>
      <c r="B3" s="2" t="inlineStr">
        <is>
          <t>値</t>
        </is>
      </c>
      <c r="C3" s="2" t="inlineStr">
        <is>
          <t>備考</t>
        </is>
      </c>
    </row>
    <row r="4">
      <c r="A4" s="3" t="inlineStr">
        <is>
          <t>敷地面積（㎡）</t>
        </is>
      </c>
      <c r="B4" s="4" t="n">
        <v>335897.83</v>
      </c>
      <c r="C4" s="3" t="inlineStr">
        <is>
          <t>物件概要書（登記簿）335,897.83㎡ = 101,609坪</t>
        </is>
      </c>
    </row>
    <row r="5">
      <c r="A5" s="3" t="inlineStr">
        <is>
          <t>うち 屋外運動場（㎡）</t>
        </is>
      </c>
      <c r="B5" s="4" t="n">
        <v>41971</v>
      </c>
      <c r="C5" s="3" t="inlineStr">
        <is>
          <t>H6.4.26 基礎調査用資料</t>
        </is>
      </c>
    </row>
    <row r="6">
      <c r="A6" s="3" t="inlineStr">
        <is>
          <t>うち 建物敷地その他（㎡）</t>
        </is>
      </c>
      <c r="B6" s="4" t="n">
        <v>68600</v>
      </c>
      <c r="C6" s="3" t="inlineStr">
        <is>
          <t>同上</t>
        </is>
      </c>
    </row>
    <row r="7">
      <c r="A7" s="3" t="inlineStr">
        <is>
          <t>うち 実験実習地＝山林（㎡）</t>
        </is>
      </c>
      <c r="B7" s="4" t="n">
        <v>226694</v>
      </c>
      <c r="C7" s="3" t="inlineStr">
        <is>
          <t>同上。林地開発許可の対象になり得る</t>
        </is>
      </c>
    </row>
    <row r="8">
      <c r="A8" s="3" t="inlineStr">
        <is>
          <t>既存建物 延床（㎡）</t>
        </is>
      </c>
      <c r="B8" s="4" t="n">
        <v>27523</v>
      </c>
      <c r="C8" s="3" t="inlineStr">
        <is>
          <t>校舎・体育館・寮・食堂・職員住宅等の合計（同資料）</t>
        </is>
      </c>
    </row>
    <row r="9">
      <c r="A9" s="3" t="inlineStr">
        <is>
          <t>募集価格（円）</t>
        </is>
      </c>
      <c r="B9" s="4" t="n">
        <v>1650000000</v>
      </c>
      <c r="C9" s="3" t="inlineStr">
        <is>
          <t>16億5,000万円（坪16,238円）。税込/税抜は要確認</t>
        </is>
      </c>
    </row>
    <row r="10">
      <c r="A10" s="3" t="inlineStr">
        <is>
          <t>固定資産税評価 土地（円）</t>
        </is>
      </c>
      <c r="B10" s="4" t="n">
        <v>340000000</v>
      </c>
      <c r="C10" s="3" t="inlineStr">
        <is>
          <t>平場3,000円/㎡＋山林50円/㎡ の想定</t>
        </is>
      </c>
    </row>
    <row r="11">
      <c r="A11" s="3" t="inlineStr">
        <is>
          <t>固定資産税評価 建物（円）</t>
        </is>
      </c>
      <c r="B11" s="4" t="n">
        <v>100000000</v>
      </c>
      <c r="C11" s="3" t="inlineStr">
        <is>
          <t>築40年超</t>
        </is>
      </c>
    </row>
    <row r="12">
      <c r="A12" s="3" t="inlineStr">
        <is>
          <t>固定資産税率</t>
        </is>
      </c>
      <c r="B12" s="5" t="n">
        <v>0.014</v>
      </c>
      <c r="C12" s="3" t="inlineStr">
        <is>
          <t>都市計画区域外のため都市計画税なし</t>
        </is>
      </c>
    </row>
    <row r="13">
      <c r="A13" s="3" t="inlineStr">
        <is>
          <t>仲介手数料率</t>
        </is>
      </c>
      <c r="B13" s="5" t="n">
        <v>0.03</v>
      </c>
      <c r="C13" s="3" t="inlineStr">
        <is>
          <t>＋6万円、税込</t>
        </is>
      </c>
    </row>
    <row r="14">
      <c r="A14" s="3" t="inlineStr">
        <is>
          <t>登録免許税率（土地）</t>
        </is>
      </c>
      <c r="B14" s="5" t="n">
        <v>0.015</v>
      </c>
      <c r="C14" s="3" t="inlineStr"/>
    </row>
    <row r="15">
      <c r="A15" s="3" t="inlineStr">
        <is>
          <t>登録免許税率（建物）</t>
        </is>
      </c>
      <c r="B15" s="5" t="n">
        <v>0.02</v>
      </c>
      <c r="C15" s="3" t="inlineStr"/>
    </row>
    <row r="16">
      <c r="A16" s="3" t="inlineStr">
        <is>
          <t>不動産取得税率</t>
        </is>
      </c>
      <c r="B16" s="5" t="n">
        <v>0.03</v>
      </c>
      <c r="C16" s="3" t="inlineStr">
        <is>
          <t>山林・雑種地は宅地1/2特例なし</t>
        </is>
      </c>
    </row>
    <row r="17">
      <c r="A17" s="3" t="inlineStr">
        <is>
          <t>その他取得費用（円）</t>
        </is>
      </c>
      <c r="B17" s="4" t="n">
        <v>40000000</v>
      </c>
      <c r="C17" s="3" t="inlineStr">
        <is>
          <t>境界確認・測量・調査</t>
        </is>
      </c>
    </row>
    <row r="18">
      <c r="A18" s="3" t="inlineStr">
        <is>
          <t>解体単価（円/坪）</t>
        </is>
      </c>
      <c r="B18" s="4" t="n">
        <v>70000</v>
      </c>
      <c r="C18" s="3" t="inlineStr">
        <is>
          <t>RC造 校舎・寮</t>
        </is>
      </c>
    </row>
    <row r="19">
      <c r="A19" s="3" t="inlineStr">
        <is>
          <t>解体 追加費用（円）</t>
        </is>
      </c>
      <c r="B19" s="4" t="n">
        <v>150000000</v>
      </c>
      <c r="C19" s="3" t="inlineStr">
        <is>
          <t>アスベスト・杭・浄化槽等</t>
        </is>
      </c>
    </row>
    <row r="20">
      <c r="A20" s="3" t="inlineStr">
        <is>
          <t>金利（年）</t>
        </is>
      </c>
      <c r="B20" s="5" t="n">
        <v>0.02</v>
      </c>
      <c r="C20" s="3" t="inlineStr"/>
    </row>
    <row r="21">
      <c r="A21" s="3" t="inlineStr">
        <is>
          <t>融資手数料率</t>
        </is>
      </c>
      <c r="B21" s="5" t="n">
        <v>0.005</v>
      </c>
      <c r="C21" s="3" t="inlineStr"/>
    </row>
    <row r="23">
      <c r="A23" s="6" t="inlineStr">
        <is>
          <t>平場面積（㎡）</t>
        </is>
      </c>
      <c r="B23" s="7">
        <f>B5+B6</f>
        <v/>
      </c>
    </row>
    <row r="24">
      <c r="A24" s="6" t="inlineStr">
        <is>
          <t>募集価格 円/㎡（全体）</t>
        </is>
      </c>
      <c r="B24" s="7">
        <f>B9/B4</f>
        <v/>
      </c>
    </row>
    <row r="25">
      <c r="A25" s="6" t="inlineStr">
        <is>
          <t>募集価格 円/㎡（平場換算・山林ゼロ評価）</t>
        </is>
      </c>
      <c r="B25" s="7">
        <f>B9/B23</f>
        <v/>
      </c>
    </row>
    <row r="26">
      <c r="A26" s="6" t="inlineStr">
        <is>
          <t>解体費（円）</t>
        </is>
      </c>
      <c r="B26" s="7">
        <f>B8/3.30579*B18+B19</f>
        <v/>
      </c>
    </row>
    <row r="27">
      <c r="A27" s="6" t="inlineStr">
        <is>
          <t>固都税 年額（円）</t>
        </is>
      </c>
      <c r="B27" s="7">
        <f>(B10+B11)*B12</f>
        <v/>
      </c>
    </row>
    <row r="28">
      <c r="A28" s="6" t="inlineStr">
        <is>
          <t>取得諸経費 合計（円）</t>
        </is>
      </c>
      <c r="B28" s="7">
        <f>(B9*B13+60000)*1.1+B10*B14+B11*B15+(B10+B11)*B16+B17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56" customWidth="1" min="3" max="3"/>
  </cols>
  <sheetData>
    <row r="1">
      <c r="A1" s="1" t="inlineStr">
        <is>
          <t>データセンター開発事業 収支（ホールセール型）　※青字は変更可。前提条件シートを参照</t>
        </is>
      </c>
    </row>
    <row r="3">
      <c r="A3" s="2" t="inlineStr">
        <is>
          <t>入力</t>
        </is>
      </c>
      <c r="B3" s="2" t="inlineStr">
        <is>
          <t>値</t>
        </is>
      </c>
      <c r="C3" s="2" t="inlineStr">
        <is>
          <t>備考</t>
        </is>
      </c>
    </row>
    <row r="4">
      <c r="A4" s="3" t="inlineStr">
        <is>
          <t>IT負荷（MW）</t>
        </is>
      </c>
      <c r="B4" s="4" t="n">
        <v>50</v>
      </c>
      <c r="C4" s="3" t="inlineStr">
        <is>
          <t>受電容量は PUE 倍</t>
        </is>
      </c>
    </row>
    <row r="5">
      <c r="A5" s="3" t="inlineStr">
        <is>
          <t>PUE</t>
        </is>
      </c>
      <c r="B5" s="8" t="n">
        <v>1.3</v>
      </c>
      <c r="C5" s="3" t="inlineStr"/>
    </row>
    <row r="6">
      <c r="A6" s="3" t="inlineStr">
        <is>
          <t>capex 円/MW（建屋・設備）</t>
        </is>
      </c>
      <c r="B6" s="4" t="n">
        <v>2000000000</v>
      </c>
      <c r="C6" s="3" t="inlineStr">
        <is>
          <t>土地・造成・系統負担金を除く。東京はUSD15.2/W≒23億/MW（T&amp;T 2025）</t>
        </is>
      </c>
    </row>
    <row r="7">
      <c r="A7" s="3" t="inlineStr">
        <is>
          <t>造成・インフラ（円）</t>
        </is>
      </c>
      <c r="B7" s="4" t="n">
        <v>500000000</v>
      </c>
      <c r="C7" s="3" t="inlineStr">
        <is>
          <t>整地・調整池・構内道路・上下水</t>
        </is>
      </c>
    </row>
    <row r="8">
      <c r="A8" s="3" t="inlineStr">
        <is>
          <t>系統接続・工事費負担金（円）</t>
        </is>
      </c>
      <c r="B8" s="4" t="n">
        <v>2000000000</v>
      </c>
      <c r="C8" s="3" t="inlineStr">
        <is>
          <t>接続検討の回答で確定。数億〜数十億</t>
        </is>
      </c>
    </row>
    <row r="9">
      <c r="A9" s="3" t="inlineStr">
        <is>
          <t>通信引込（円）</t>
        </is>
      </c>
      <c r="B9" s="4" t="n">
        <v>300000000</v>
      </c>
      <c r="C9" s="3" t="inlineStr">
        <is>
          <t>冗長ダークファイバー</t>
        </is>
      </c>
    </row>
    <row r="10">
      <c r="A10" s="3" t="inlineStr">
        <is>
          <t>設計監理率（capex比）</t>
        </is>
      </c>
      <c r="B10" s="5" t="n">
        <v>0.04</v>
      </c>
      <c r="C10" s="3" t="inlineStr"/>
    </row>
    <row r="11">
      <c r="A11" s="3" t="inlineStr">
        <is>
          <t>予備費率（capex比）</t>
        </is>
      </c>
      <c r="B11" s="5" t="n">
        <v>0.05</v>
      </c>
      <c r="C11" s="3" t="inlineStr"/>
    </row>
    <row r="12">
      <c r="A12" s="3" t="inlineStr">
        <is>
          <t>受電待ち期間（年）</t>
        </is>
      </c>
      <c r="B12" s="4" t="n">
        <v>3</v>
      </c>
      <c r="C12" s="3" t="inlineStr">
        <is>
          <t>接続検討〜供給開始のリードタイム</t>
        </is>
      </c>
    </row>
    <row r="13">
      <c r="A13" s="3" t="inlineStr">
        <is>
          <t>工期（月）</t>
        </is>
      </c>
      <c r="B13" s="4" t="n">
        <v>30</v>
      </c>
      <c r="C13" s="3" t="inlineStr"/>
    </row>
    <row r="14">
      <c r="A14" s="3" t="inlineStr">
        <is>
          <t>賃料 円/kW/月</t>
        </is>
      </c>
      <c r="B14" s="4" t="n">
        <v>20000</v>
      </c>
      <c r="C14" s="3" t="inlineStr">
        <is>
          <t>電気代は実費転嫁。東京ホールセール2.5〜3.0万の想定に対し地方は1.5〜2.2万</t>
        </is>
      </c>
    </row>
    <row r="15">
      <c r="A15" s="3" t="inlineStr">
        <is>
          <t>稼働率</t>
        </is>
      </c>
      <c r="B15" s="5" t="n">
        <v>0.9</v>
      </c>
      <c r="C15" s="3" t="inlineStr"/>
    </row>
    <row r="16">
      <c r="A16" s="3" t="inlineStr">
        <is>
          <t>運営費率（賃料比）</t>
        </is>
      </c>
      <c r="B16" s="5" t="n">
        <v>0.2</v>
      </c>
      <c r="C16" s="3" t="inlineStr">
        <is>
          <t>保守・保険・管理</t>
        </is>
      </c>
    </row>
    <row r="17">
      <c r="A17" s="3" t="inlineStr">
        <is>
          <t>建物・償却資産税率（capex比）</t>
        </is>
      </c>
      <c r="B17" s="5" t="n">
        <v>0.006</v>
      </c>
      <c r="C17" s="3" t="inlineStr"/>
    </row>
    <row r="18">
      <c r="A18" s="3" t="inlineStr">
        <is>
          <t>キャップレート</t>
        </is>
      </c>
      <c r="B18" s="5" t="n">
        <v>0.05</v>
      </c>
      <c r="C18" s="3" t="inlineStr">
        <is>
          <t>東京DC 4.3〜4.5%に対し地方 +0.5〜1.0pt</t>
        </is>
      </c>
    </row>
    <row r="19">
      <c r="A19" s="3" t="inlineStr">
        <is>
          <t>開発利益率（総事業費比）</t>
        </is>
      </c>
      <c r="B19" s="5" t="n">
        <v>0.15</v>
      </c>
      <c r="C19" s="3" t="inlineStr"/>
    </row>
    <row r="20">
      <c r="A20" s="3" t="inlineStr">
        <is>
          <t>土地価格（円）</t>
        </is>
      </c>
      <c r="B20" s="4" t="n">
        <v>1650000000</v>
      </c>
      <c r="C20" s="3" t="inlineStr">
        <is>
          <t>募集価格。指値検討時はここを変更</t>
        </is>
      </c>
    </row>
    <row r="22">
      <c r="A22" s="2" t="inlineStr">
        <is>
          <t>費用項目</t>
        </is>
      </c>
      <c r="B22" s="2" t="inlineStr">
        <is>
          <t>金額（円）</t>
        </is>
      </c>
      <c r="C22" s="2" t="inlineStr">
        <is>
          <t>計算</t>
        </is>
      </c>
    </row>
    <row r="23">
      <c r="A23" s="3" t="inlineStr">
        <is>
          <t>土地代</t>
        </is>
      </c>
      <c r="B23" s="9">
        <f>B20</f>
        <v/>
      </c>
      <c r="C23" s="3" t="inlineStr"/>
    </row>
    <row r="24">
      <c r="A24" s="3" t="inlineStr">
        <is>
          <t>取得諸経費</t>
        </is>
      </c>
      <c r="B24" s="9">
        <f>(B20*前提条件!B13+60000)*1.1+前提条件!B10*前提条件!B14+前提条件!B11*前提条件!B15+(前提条件!B10+前提条件!B11)*前提条件!B16+前提条件!B17</f>
        <v/>
      </c>
      <c r="C24" s="3" t="inlineStr">
        <is>
          <t>仲介・登免税・取得税・その他</t>
        </is>
      </c>
    </row>
    <row r="25">
      <c r="A25" s="3" t="inlineStr">
        <is>
          <t>既存建物解体</t>
        </is>
      </c>
      <c r="B25" s="9">
        <f>前提条件!B8/3.30579*前提条件!B18+前提条件!B19</f>
        <v/>
      </c>
      <c r="C25" s="3" t="inlineStr"/>
    </row>
    <row r="26">
      <c r="A26" s="3" t="inlineStr">
        <is>
          <t>DC建屋・設備</t>
        </is>
      </c>
      <c r="B26" s="9">
        <f>B4*B6</f>
        <v/>
      </c>
      <c r="C26" s="3" t="inlineStr">
        <is>
          <t>MW × capex/MW</t>
        </is>
      </c>
    </row>
    <row r="27">
      <c r="A27" s="3" t="inlineStr">
        <is>
          <t>造成・インフラ</t>
        </is>
      </c>
      <c r="B27" s="9">
        <f>B7</f>
        <v/>
      </c>
      <c r="C27" s="3" t="inlineStr"/>
    </row>
    <row r="28">
      <c r="A28" s="3" t="inlineStr">
        <is>
          <t>系統接続・工事費負担金</t>
        </is>
      </c>
      <c r="B28" s="9">
        <f>B8</f>
        <v/>
      </c>
      <c r="C28" s="3" t="inlineStr"/>
    </row>
    <row r="29">
      <c r="A29" s="3" t="inlineStr">
        <is>
          <t>通信引込</t>
        </is>
      </c>
      <c r="B29" s="9">
        <f>B9</f>
        <v/>
      </c>
      <c r="C29" s="3" t="inlineStr"/>
    </row>
    <row r="30">
      <c r="A30" s="3" t="inlineStr">
        <is>
          <t>設計監理</t>
        </is>
      </c>
      <c r="B30" s="9">
        <f>B26*B10</f>
        <v/>
      </c>
      <c r="C30" s="3" t="inlineStr"/>
    </row>
    <row r="31">
      <c r="A31" s="3" t="inlineStr">
        <is>
          <t>予備費</t>
        </is>
      </c>
      <c r="B31" s="9">
        <f>B26*B11</f>
        <v/>
      </c>
      <c r="C31" s="3" t="inlineStr"/>
    </row>
    <row r="32">
      <c r="A32" s="3" t="inlineStr">
        <is>
          <t>固都税（事業期間）</t>
        </is>
      </c>
      <c r="B32" s="9">
        <f>(前提条件!B10+前提条件!B11)*前提条件!B12*(B12+B13/12)</f>
        <v/>
      </c>
      <c r="C32" s="3" t="inlineStr">
        <is>
          <t>受電待ち＋工期</t>
        </is>
      </c>
    </row>
    <row r="33">
      <c r="A33" s="3" t="inlineStr">
        <is>
          <t>金利・融資手数料</t>
        </is>
      </c>
      <c r="B33" s="9">
        <f>(B23+B24+B25)*前提条件!B20*(B12+B13/12)+(B26+B27+B28+B29+B30+B31)*前提条件!B20*(B13/12)/2+SUM(B23:B31)*前提条件!B21</f>
        <v/>
      </c>
      <c r="C33" s="3" t="inlineStr">
        <is>
          <t>土地側は全期間、建設側は工期の1/2</t>
        </is>
      </c>
    </row>
    <row r="34">
      <c r="A34" s="6" t="inlineStr">
        <is>
          <t>総事業費</t>
        </is>
      </c>
      <c r="B34" s="10">
        <f>SUM(B23:B33)</f>
        <v/>
      </c>
    </row>
    <row r="36">
      <c r="A36" s="2" t="inlineStr">
        <is>
          <t>収支指標</t>
        </is>
      </c>
      <c r="B36" s="2" t="inlineStr">
        <is>
          <t>値</t>
        </is>
      </c>
      <c r="C36" s="2" t="inlineStr">
        <is>
          <t>計算</t>
        </is>
      </c>
    </row>
    <row r="37">
      <c r="A37" s="3" t="inlineStr">
        <is>
          <t>受電容量（MW）</t>
        </is>
      </c>
      <c r="B37" s="9">
        <f>B4*B5</f>
        <v/>
      </c>
      <c r="C37" s="3" t="inlineStr"/>
    </row>
    <row r="38">
      <c r="A38" s="3" t="inlineStr">
        <is>
          <t>年間賃料収入</t>
        </is>
      </c>
      <c r="B38" s="9">
        <f>B4*1000*B14*12*B15</f>
        <v/>
      </c>
      <c r="C38" s="3" t="inlineStr">
        <is>
          <t>IT kW × 賃料 × 12 × 稼働率</t>
        </is>
      </c>
    </row>
    <row r="39">
      <c r="A39" s="3" t="inlineStr">
        <is>
          <t>年間運営費・固都税</t>
        </is>
      </c>
      <c r="B39" s="9">
        <f>B38*B16+B26*B17+(前提条件!B10+前提条件!B11)*前提条件!B12</f>
        <v/>
      </c>
      <c r="C39" s="3" t="inlineStr"/>
    </row>
    <row r="40">
      <c r="A40" s="3" t="inlineStr">
        <is>
          <t>NOI</t>
        </is>
      </c>
      <c r="B40" s="9">
        <f>B38-B39</f>
        <v/>
      </c>
      <c r="C40" s="3" t="inlineStr"/>
    </row>
    <row r="41">
      <c r="A41" s="3" t="inlineStr">
        <is>
          <t>NOI利回り（総事業費比）</t>
        </is>
      </c>
      <c r="B41" s="11">
        <f>B40/B34</f>
        <v/>
      </c>
      <c r="C41" s="3" t="inlineStr"/>
    </row>
    <row r="42">
      <c r="A42" s="3" t="inlineStr">
        <is>
          <t>収益価格</t>
        </is>
      </c>
      <c r="B42" s="9">
        <f>B40/B18</f>
        <v/>
      </c>
      <c r="C42" s="3" t="inlineStr">
        <is>
          <t>NOI ÷ cap</t>
        </is>
      </c>
    </row>
    <row r="43">
      <c r="A43" s="3" t="inlineStr">
        <is>
          <t>含み損益（収益価格−総事業費）</t>
        </is>
      </c>
      <c r="B43" s="9">
        <f>B42-B34</f>
        <v/>
      </c>
      <c r="C43" s="3" t="inlineStr"/>
    </row>
    <row r="44">
      <c r="A44" s="3" t="inlineStr">
        <is>
          <t>開発利益率（収益価格/総事業費−1）</t>
        </is>
      </c>
      <c r="B44" s="11">
        <f>B42/B34-1</f>
        <v/>
      </c>
      <c r="C44" s="3" t="inlineStr">
        <is>
          <t>目標 = 開発利益率（B19）</t>
        </is>
      </c>
    </row>
    <row r="45">
      <c r="A45" s="3" t="inlineStr">
        <is>
          <t>損益分岐賃料（円/kW/月）</t>
        </is>
      </c>
      <c r="B45" s="9">
        <f>((B34*(1+B19)*B18)+B26*B17+(前提条件!B10+前提条件!B11)*前提条件!B12)/(1-B16)/(B4*1000*12*B15)</f>
        <v/>
      </c>
      <c r="C45" s="3" t="inlineStr">
        <is>
          <t>収益価格 = 総事業費×(1+利益) となる賃料</t>
        </is>
      </c>
    </row>
    <row r="46">
      <c r="A46" s="3" t="inlineStr">
        <is>
          <t>土地代の総事業費比</t>
        </is>
      </c>
      <c r="B46" s="11">
        <f>B20/B34</f>
        <v/>
      </c>
      <c r="C46" s="3" t="inlineStr"/>
    </row>
    <row r="47">
      <c r="A47" s="3" t="inlineStr">
        <is>
          <t>総事業費/MW（円）</t>
        </is>
      </c>
      <c r="B47" s="9">
        <f>B34/B4</f>
        <v/>
      </c>
      <c r="C4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DC 規模別の収支（himeji_dc.py の計算値。賃料2.0万円/kW/月・cap5.0%・capex20億/MW）</t>
        </is>
      </c>
    </row>
    <row r="3">
      <c r="A3" s="2" t="inlineStr">
        <is>
          <t>項目</t>
        </is>
      </c>
      <c r="B3" s="2" t="inlineStr">
        <is>
          <t>郊外型ミドル 20MW</t>
        </is>
      </c>
      <c r="C3" s="2" t="inlineStr">
        <is>
          <t>郊外型ラージ 50MW</t>
        </is>
      </c>
      <c r="D3" s="2" t="inlineStr">
        <is>
          <t>キャンパス型 100MW（平場11ha上限）</t>
        </is>
      </c>
    </row>
    <row r="4">
      <c r="A4" s="3" t="inlineStr">
        <is>
          <t>土地代</t>
        </is>
      </c>
      <c r="B4" s="12" t="n">
        <v>16.5</v>
      </c>
      <c r="C4" s="12" t="n">
        <v>16.5</v>
      </c>
      <c r="D4" s="12" t="n">
        <v>16.5</v>
      </c>
    </row>
    <row r="5">
      <c r="A5" s="3" t="inlineStr">
        <is>
          <t>仲介手数料(税込)</t>
        </is>
      </c>
      <c r="B5" s="12" t="n">
        <v>0.5451600000000001</v>
      </c>
      <c r="C5" s="12" t="n">
        <v>0.5451600000000001</v>
      </c>
      <c r="D5" s="12" t="n">
        <v>0.5451600000000001</v>
      </c>
    </row>
    <row r="6">
      <c r="A6" s="3" t="inlineStr">
        <is>
          <t>登録免許税</t>
        </is>
      </c>
      <c r="B6" s="12" t="n">
        <v>0.07099999999999999</v>
      </c>
      <c r="C6" s="12" t="n">
        <v>0.07099999999999999</v>
      </c>
      <c r="D6" s="12" t="n">
        <v>0.07099999999999999</v>
      </c>
    </row>
    <row r="7">
      <c r="A7" s="3" t="inlineStr">
        <is>
          <t>不動産取得税</t>
        </is>
      </c>
      <c r="B7" s="12" t="n">
        <v>0.132</v>
      </c>
      <c r="C7" s="12" t="n">
        <v>0.132</v>
      </c>
      <c r="D7" s="12" t="n">
        <v>0.132</v>
      </c>
    </row>
    <row r="8">
      <c r="A8" s="3" t="inlineStr">
        <is>
          <t>その他取得費用</t>
        </is>
      </c>
      <c r="B8" s="12" t="n">
        <v>0.4</v>
      </c>
      <c r="C8" s="12" t="n">
        <v>0.4</v>
      </c>
      <c r="D8" s="12" t="n">
        <v>0.4</v>
      </c>
    </row>
    <row r="9">
      <c r="A9" s="3" t="inlineStr">
        <is>
          <t>既存建物解体</t>
        </is>
      </c>
      <c r="B9" s="12" t="n">
        <v>7.327986653719685</v>
      </c>
      <c r="C9" s="12" t="n">
        <v>7.327986653719685</v>
      </c>
      <c r="D9" s="12" t="n">
        <v>7.327986653719685</v>
      </c>
    </row>
    <row r="10">
      <c r="A10" s="3" t="inlineStr">
        <is>
          <t>DC建屋・設備</t>
        </is>
      </c>
      <c r="B10" s="12" t="n">
        <v>400</v>
      </c>
      <c r="C10" s="12" t="n">
        <v>1000</v>
      </c>
      <c r="D10" s="12" t="n">
        <v>2000</v>
      </c>
    </row>
    <row r="11">
      <c r="A11" s="3" t="inlineStr">
        <is>
          <t>造成・インフラ</t>
        </is>
      </c>
      <c r="B11" s="12" t="n">
        <v>4</v>
      </c>
      <c r="C11" s="12" t="n">
        <v>5</v>
      </c>
      <c r="D11" s="12" t="n">
        <v>8</v>
      </c>
    </row>
    <row r="12">
      <c r="A12" s="3" t="inlineStr">
        <is>
          <t>系統接続・工事費負担金</t>
        </is>
      </c>
      <c r="B12" s="12" t="n">
        <v>12</v>
      </c>
      <c r="C12" s="12" t="n">
        <v>20</v>
      </c>
      <c r="D12" s="12" t="n">
        <v>40</v>
      </c>
    </row>
    <row r="13">
      <c r="A13" s="3" t="inlineStr">
        <is>
          <t>通信引込</t>
        </is>
      </c>
      <c r="B13" s="12" t="n">
        <v>3</v>
      </c>
      <c r="C13" s="12" t="n">
        <v>3</v>
      </c>
      <c r="D13" s="12" t="n">
        <v>3</v>
      </c>
    </row>
    <row r="14">
      <c r="A14" s="3" t="inlineStr">
        <is>
          <t>設計監理</t>
        </is>
      </c>
      <c r="B14" s="12" t="n">
        <v>16</v>
      </c>
      <c r="C14" s="12" t="n">
        <v>40</v>
      </c>
      <c r="D14" s="12" t="n">
        <v>80</v>
      </c>
    </row>
    <row r="15">
      <c r="A15" s="3" t="inlineStr">
        <is>
          <t>予備費</t>
        </is>
      </c>
      <c r="B15" s="12" t="n">
        <v>20</v>
      </c>
      <c r="C15" s="12" t="n">
        <v>50</v>
      </c>
      <c r="D15" s="12" t="n">
        <v>100</v>
      </c>
    </row>
    <row r="16">
      <c r="A16" s="3" t="inlineStr">
        <is>
          <t>固都税(事業期間)</t>
        </is>
      </c>
      <c r="B16" s="12" t="n">
        <v>0.3388</v>
      </c>
      <c r="C16" s="12" t="n">
        <v>0.3388</v>
      </c>
      <c r="D16" s="12" t="n">
        <v>0.4004</v>
      </c>
    </row>
    <row r="17">
      <c r="A17" s="3" t="inlineStr">
        <is>
          <t>金利・融資手数料</t>
        </is>
      </c>
      <c r="B17" s="12" t="n">
        <v>16.52225686517777</v>
      </c>
      <c r="C17" s="12" t="n">
        <v>36.41225686517777</v>
      </c>
      <c r="D17" s="12" t="n">
        <v>92.61177979825216</v>
      </c>
    </row>
    <row r="18">
      <c r="A18" s="6" t="inlineStr">
        <is>
          <t>総事業費</t>
        </is>
      </c>
      <c r="B18" s="13" t="n">
        <v>496.8372035188975</v>
      </c>
      <c r="C18" s="13" t="n">
        <v>1179.727203518897</v>
      </c>
      <c r="D18" s="13" t="n">
        <v>2348.988326451972</v>
      </c>
    </row>
    <row r="20">
      <c r="A20" s="3" t="inlineStr">
        <is>
          <t>受電容量MW</t>
        </is>
      </c>
      <c r="B20" s="14" t="n">
        <v>26</v>
      </c>
      <c r="C20" s="14" t="n">
        <v>65</v>
      </c>
      <c r="D20" s="14" t="n">
        <v>130</v>
      </c>
    </row>
    <row r="21">
      <c r="A21" s="3" t="inlineStr">
        <is>
          <t>年間賃料収入</t>
        </is>
      </c>
      <c r="B21" s="12" t="n">
        <v>43.2</v>
      </c>
      <c r="C21" s="12" t="n">
        <v>108</v>
      </c>
      <c r="D21" s="12" t="n">
        <v>216</v>
      </c>
    </row>
    <row r="22">
      <c r="A22" s="3" t="inlineStr">
        <is>
          <t>年間運営費・固都税</t>
        </is>
      </c>
      <c r="B22" s="12" t="n">
        <v>11.1016</v>
      </c>
      <c r="C22" s="12" t="n">
        <v>27.6616</v>
      </c>
      <c r="D22" s="12" t="n">
        <v>55.2616</v>
      </c>
    </row>
    <row r="23">
      <c r="A23" s="3" t="inlineStr">
        <is>
          <t>NOI</t>
        </is>
      </c>
      <c r="B23" s="12" t="n">
        <v>32.0984</v>
      </c>
      <c r="C23" s="12" t="n">
        <v>80.33839999999999</v>
      </c>
      <c r="D23" s="12" t="n">
        <v>160.7384</v>
      </c>
    </row>
    <row r="24">
      <c r="A24" s="3" t="inlineStr">
        <is>
          <t>NOI利回り(総事業費比)</t>
        </is>
      </c>
      <c r="B24" s="11" t="n">
        <v>0.06460546789302407</v>
      </c>
      <c r="C24" s="11" t="n">
        <v>0.06809913322365216</v>
      </c>
      <c r="D24" s="11" t="n">
        <v>0.06842877769545463</v>
      </c>
    </row>
    <row r="25">
      <c r="A25" s="3" t="inlineStr">
        <is>
          <t>収益価格</t>
        </is>
      </c>
      <c r="B25" s="12" t="n">
        <v>641.968</v>
      </c>
      <c r="C25" s="12" t="n">
        <v>1606.768</v>
      </c>
      <c r="D25" s="12" t="n">
        <v>3214.768</v>
      </c>
    </row>
    <row r="26">
      <c r="A26" s="3" t="inlineStr">
        <is>
          <t>含み損益(収益価格-総事業費)</t>
        </is>
      </c>
      <c r="B26" s="12" t="n">
        <v>145.1307964811025</v>
      </c>
      <c r="C26" s="12" t="n">
        <v>427.0407964811026</v>
      </c>
      <c r="D26" s="12" t="n">
        <v>865.779673548028</v>
      </c>
    </row>
    <row r="27">
      <c r="A27" s="3" t="inlineStr">
        <is>
          <t>開発利益率(収益価格/総事業費-1)</t>
        </is>
      </c>
      <c r="B27" s="11" t="n">
        <v>0.2921093578604816</v>
      </c>
      <c r="C27" s="11" t="n">
        <v>0.3619826644730433</v>
      </c>
      <c r="D27" s="11" t="n">
        <v>0.3685755539090925</v>
      </c>
    </row>
    <row r="28">
      <c r="A28" s="3" t="inlineStr">
        <is>
          <t>損益分岐賃料(円/kW/月)</t>
        </is>
      </c>
      <c r="B28" s="9" t="n">
        <v>17957.0250013522</v>
      </c>
      <c r="C28" s="9" t="n">
        <v>17105.53569498532</v>
      </c>
      <c r="D28" s="9" t="n">
        <v>17028.75332997551</v>
      </c>
    </row>
    <row r="29">
      <c r="A29" s="3" t="inlineStr">
        <is>
          <t>土地代の総事業費比</t>
        </is>
      </c>
      <c r="B29" s="11" t="n">
        <v>0.0332100734066152</v>
      </c>
      <c r="C29" s="11" t="n">
        <v>0.01398628424502182</v>
      </c>
      <c r="D29" s="11" t="n">
        <v>0.007024300552792621</v>
      </c>
    </row>
    <row r="30">
      <c r="A30" s="3" t="inlineStr">
        <is>
          <t>総事業費/MW</t>
        </is>
      </c>
      <c r="B30" s="12" t="n">
        <v>24.84186017594487</v>
      </c>
      <c r="C30" s="12" t="n">
        <v>23.59454407037795</v>
      </c>
      <c r="D30" s="12" t="n">
        <v>23.48988326451972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感度分析（50MW）</t>
        </is>
      </c>
    </row>
    <row r="3">
      <c r="A3" s="6" t="inlineStr">
        <is>
          <t>① 開発利益率  行=賃料(円/kW/月), 列=capex(億/MW)  cap5.0%</t>
        </is>
      </c>
    </row>
    <row r="4">
      <c r="A4" s="2" t="inlineStr">
        <is>
          <t>賃料＼capex</t>
        </is>
      </c>
      <c r="B4" s="2" t="inlineStr">
        <is>
          <t>16億/MW</t>
        </is>
      </c>
      <c r="C4" s="2" t="inlineStr">
        <is>
          <t>20億/MW</t>
        </is>
      </c>
      <c r="D4" s="2" t="inlineStr">
        <is>
          <t>24億/MW</t>
        </is>
      </c>
    </row>
    <row r="5">
      <c r="A5" s="7" t="n">
        <v>15000</v>
      </c>
      <c r="B5" s="11" t="n">
        <v>0.2550084377007502</v>
      </c>
      <c r="C5" s="11" t="n">
        <v>-0.004203686669346118</v>
      </c>
      <c r="D5" s="11" t="n">
        <v>-0.1805206323153199</v>
      </c>
    </row>
    <row r="6">
      <c r="A6" s="7" t="n">
        <v>18000</v>
      </c>
      <c r="B6" s="11" t="n">
        <v>0.5263688569411991</v>
      </c>
      <c r="C6" s="11" t="n">
        <v>0.2155081240160874</v>
      </c>
      <c r="D6" s="11" t="n">
        <v>0.004059623743128959</v>
      </c>
    </row>
    <row r="7">
      <c r="A7" s="7" t="n">
        <v>20000</v>
      </c>
      <c r="B7" s="11" t="n">
        <v>0.7072758031014985</v>
      </c>
      <c r="C7" s="11" t="n">
        <v>0.3619826644730433</v>
      </c>
      <c r="D7" s="11" t="n">
        <v>0.1271131277820949</v>
      </c>
    </row>
    <row r="8">
      <c r="A8" s="7" t="n">
        <v>22000</v>
      </c>
      <c r="B8" s="11" t="n">
        <v>0.8881827492617977</v>
      </c>
      <c r="C8" s="11" t="n">
        <v>0.5084572049299989</v>
      </c>
      <c r="D8" s="11" t="n">
        <v>0.2501666318210607</v>
      </c>
    </row>
    <row r="9">
      <c r="A9" s="7" t="n">
        <v>25000</v>
      </c>
      <c r="B9" s="11" t="n">
        <v>1.159543168502247</v>
      </c>
      <c r="C9" s="11" t="n">
        <v>0.7281690156154326</v>
      </c>
      <c r="D9" s="11" t="n">
        <v>0.4347468878795095</v>
      </c>
    </row>
    <row r="12">
      <c r="A12" s="6" t="inlineStr">
        <is>
          <t>② 含み損益（億円）  行=キャップレート, 列=賃料(円/kW/月)  capex20億/MW</t>
        </is>
      </c>
    </row>
    <row r="13">
      <c r="A13" s="2" t="inlineStr">
        <is>
          <t>cap＼賃料</t>
        </is>
      </c>
      <c r="B13" s="2" t="inlineStr">
        <is>
          <t>15,000</t>
        </is>
      </c>
      <c r="C13" s="2" t="inlineStr">
        <is>
          <t>18,000</t>
        </is>
      </c>
      <c r="D13" s="2" t="inlineStr">
        <is>
          <t>20,000</t>
        </is>
      </c>
      <c r="E13" s="2" t="inlineStr">
        <is>
          <t>22,000</t>
        </is>
      </c>
      <c r="F13" s="2" t="inlineStr">
        <is>
          <t>25,000</t>
        </is>
      </c>
    </row>
    <row r="14">
      <c r="A14" s="15" t="n">
        <v>0.045</v>
      </c>
      <c r="B14" s="9" t="n">
        <v>125.5705742588805</v>
      </c>
      <c r="C14" s="9" t="n">
        <v>413.5705742588803</v>
      </c>
      <c r="D14" s="9" t="n">
        <v>605.5705742588804</v>
      </c>
      <c r="E14" s="9" t="n">
        <v>797.5705742588804</v>
      </c>
      <c r="F14" s="9" t="n">
        <v>1085.57057425888</v>
      </c>
    </row>
    <row r="15">
      <c r="A15" s="15" t="n">
        <v>0.05</v>
      </c>
      <c r="B15" s="9" t="n">
        <v>-4.9592035188974</v>
      </c>
      <c r="C15" s="9" t="n">
        <v>254.2407964811026</v>
      </c>
      <c r="D15" s="9" t="n">
        <v>427.0407964811026</v>
      </c>
      <c r="E15" s="9" t="n">
        <v>599.8407964811026</v>
      </c>
      <c r="F15" s="9" t="n">
        <v>859.0407964811026</v>
      </c>
    </row>
    <row r="16">
      <c r="A16" s="15" t="n">
        <v>0.055</v>
      </c>
      <c r="B16" s="9" t="n">
        <v>-111.7562944279883</v>
      </c>
      <c r="C16" s="9" t="n">
        <v>123.8800692083754</v>
      </c>
      <c r="D16" s="9" t="n">
        <v>280.9709782992844</v>
      </c>
      <c r="E16" s="9" t="n">
        <v>438.0618873901935</v>
      </c>
      <c r="F16" s="9" t="n">
        <v>673.698251026557</v>
      </c>
    </row>
    <row r="17">
      <c r="A17" s="15" t="n">
        <v>0.06</v>
      </c>
      <c r="B17" s="9" t="n">
        <v>-200.753870185564</v>
      </c>
      <c r="C17" s="9" t="n">
        <v>15.24612981443603</v>
      </c>
      <c r="D17" s="9" t="n">
        <v>159.246129814436</v>
      </c>
      <c r="E17" s="9" t="n">
        <v>303.246129814436</v>
      </c>
      <c r="F17" s="9" t="n">
        <v>519.246129814436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60" customWidth="1" min="4" max="4"/>
  </cols>
  <sheetData>
    <row r="1">
      <c r="A1" s="1" t="inlineStr">
        <is>
          <t>残余法: DC事業が土地に払える理論上限（開発利益15%控除後）と DC以外の出口の価格</t>
        </is>
      </c>
    </row>
    <row r="3">
      <c r="A3" s="2" t="inlineStr">
        <is>
          <t>DCケース</t>
        </is>
      </c>
      <c r="B3" s="2" t="inlineStr">
        <is>
          <t>土地価格上限</t>
        </is>
      </c>
      <c r="C3" s="2" t="inlineStr">
        <is>
          <t>円/㎡</t>
        </is>
      </c>
      <c r="D3" s="2" t="inlineStr">
        <is>
          <t>備考</t>
        </is>
      </c>
    </row>
    <row r="4">
      <c r="A4" s="3" t="inlineStr">
        <is>
          <t>郊外型ミドル 20MW（賃料2.0万）</t>
        </is>
      </c>
      <c r="B4" s="12" t="n">
        <v>69.80448557196677</v>
      </c>
      <c r="C4" s="9" t="n">
        <v>20781.46368851706</v>
      </c>
      <c r="D4" s="3" t="inlineStr">
        <is>
          <t>電力・テナントが確保できる前提の理論値。土地代は総事業費の1〜2%</t>
        </is>
      </c>
    </row>
    <row r="5">
      <c r="A5" s="3" t="inlineStr">
        <is>
          <t>郊外型ラージ 50MW（賃料2.0万）</t>
        </is>
      </c>
      <c r="B5" s="12" t="n">
        <v>205.3030089542792</v>
      </c>
      <c r="C5" s="9" t="n">
        <v>61120.6714119824</v>
      </c>
      <c r="D5" s="3" t="inlineStr">
        <is>
          <t>電力・テナントが確保できる前提の理論値。土地代は総事業費の1〜2%</t>
        </is>
      </c>
    </row>
    <row r="6">
      <c r="A6" s="3" t="inlineStr">
        <is>
          <t>キャンパス型 100MW（平場11ha上限）（賃料2.0万）</t>
        </is>
      </c>
      <c r="B6" s="12" t="n">
        <v>397.2925321915444</v>
      </c>
      <c r="C6" s="9" t="n">
        <v>118277.7906578153</v>
      </c>
      <c r="D6" s="3" t="inlineStr">
        <is>
          <t>電力・テナントが確保できる前提の理論値。土地代は総事業費の1〜2%</t>
        </is>
      </c>
    </row>
    <row r="7">
      <c r="A7" s="3" t="inlineStr">
        <is>
          <t>郊外型ラージ 50MW（賃料1.8万）</t>
        </is>
      </c>
      <c r="B7" s="12" t="n">
        <v>74.84501116368506</v>
      </c>
      <c r="C7" s="9" t="n">
        <v>22282.076417012</v>
      </c>
      <c r="D7" s="3" t="inlineStr">
        <is>
          <t>電力・テナントが確保できる前提の理論値。土地代は総事業費の1〜2%</t>
        </is>
      </c>
    </row>
    <row r="8">
      <c r="A8" s="3" t="inlineStr">
        <is>
          <t>郊外型ラージ 50MW（賃料1.5万）</t>
        </is>
      </c>
      <c r="B8" s="12" t="inlineStr">
        <is>
          <t>成立せず</t>
        </is>
      </c>
      <c r="C8" s="9" t="inlineStr">
        <is>
          <t>－</t>
        </is>
      </c>
      <c r="D8" s="3" t="inlineStr">
        <is>
          <t>電力・テナントが確保できる前提の理論値。土地代は総事業費の1〜2%</t>
        </is>
      </c>
    </row>
    <row r="9">
      <c r="A9" s="3" t="inlineStr">
        <is>
          <t>郊外型ラージ 50MW（賃料2.0万・cap6.0%・capex24億）</t>
        </is>
      </c>
      <c r="B9" s="12" t="inlineStr">
        <is>
          <t>成立せず</t>
        </is>
      </c>
      <c r="C9" s="9" t="inlineStr">
        <is>
          <t>－</t>
        </is>
      </c>
      <c r="D9" s="3" t="inlineStr">
        <is>
          <t>電力・テナントが確保できる前提の理論値。土地代は総事業費の1〜2%</t>
        </is>
      </c>
    </row>
    <row r="11">
      <c r="A11" s="2" t="inlineStr">
        <is>
          <t>DC以外の出口</t>
        </is>
      </c>
      <c r="B11" s="2" t="inlineStr">
        <is>
          <t>土地建物の価格</t>
        </is>
      </c>
      <c r="C11" s="2" t="inlineStr">
        <is>
          <t>年間NOI</t>
        </is>
      </c>
      <c r="D11" s="2" t="inlineStr">
        <is>
          <t>備考</t>
        </is>
      </c>
    </row>
    <row r="12">
      <c r="A12" s="3" t="inlineStr">
        <is>
          <t>現況一括賃貸（研修・合宿・学校用途）</t>
        </is>
      </c>
      <c r="B12" s="12" t="n">
        <v>2.834285714285714</v>
      </c>
      <c r="C12" s="12" t="n">
        <v>0.3384</v>
      </c>
      <c r="D12" s="3" t="inlineStr">
        <is>
          <t>開発許可不要。借主確保が前提</t>
        </is>
      </c>
    </row>
    <row r="13">
      <c r="A13" s="3" t="inlineStr">
        <is>
          <t>太陽光（運動場4.2haの地代・建物は残置）</t>
        </is>
      </c>
      <c r="B13" s="12" t="n">
        <v>0.1625116666666667</v>
      </c>
      <c r="C13" s="12" t="n">
        <v>0.009750699999999999</v>
      </c>
      <c r="D13" s="3" t="inlineStr">
        <is>
          <t>固都税を地代が辛うじて上回る水準。系統空き容量の確認要</t>
        </is>
      </c>
    </row>
    <row r="14">
      <c r="A14" s="3" t="inlineStr">
        <is>
          <t>系統用蓄電池（2.5ha地代・残地未利用）</t>
        </is>
      </c>
      <c r="B14" s="12" t="n">
        <v>2.306666666666667</v>
      </c>
      <c r="C14" s="12" t="n">
        <v>0.1384</v>
      </c>
      <c r="D14" s="3" t="inlineStr">
        <is>
          <t>運動場の一部で成立。特高接続が前提で、DCと同じ電力論点</t>
        </is>
      </c>
    </row>
    <row r="15">
      <c r="A15" s="3" t="inlineStr">
        <is>
          <t>産業用地分譲（平場11haを工場・倉庫用地に）</t>
        </is>
      </c>
      <c r="B15" s="12" t="n">
        <v>-3.110954800473861</v>
      </c>
      <c r="C15" s="12" t="n">
        <v>0</v>
      </c>
      <c r="D15" s="3" t="inlineStr">
        <is>
          <t>売上11.1億から解体・造成・利益15%を引いた残余。開発許可（1ha超）要</t>
        </is>
      </c>
    </row>
    <row r="16">
      <c r="A16" s="3" t="inlineStr">
        <is>
          <t>山林・現況保有</t>
        </is>
      </c>
      <c r="B16" s="12" t="n">
        <v>0.779549</v>
      </c>
      <c r="C16" s="12" t="n">
        <v>-0.0616</v>
      </c>
      <c r="D16" s="3" t="inlineStr">
        <is>
          <t>地目山林・原野の素地価格</t>
        </is>
      </c>
    </row>
    <row r="18">
      <c r="A18" s="6" t="inlineStr">
        <is>
          <t>募集価格</t>
        </is>
      </c>
      <c r="B18" s="16" t="n">
        <v>16.5</v>
      </c>
      <c r="C18" s="7" t="n">
        <v>4912.207977050641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8" customWidth="1" min="4" max="4"/>
  </cols>
  <sheetData>
    <row r="1">
      <c r="A1" s="1" t="inlineStr">
        <is>
          <t>16.5億円で取得し、受電・許認可の一次回答を待つ場合の保有コスト（金利2%・固都税・管理費500万/年）</t>
        </is>
      </c>
    </row>
    <row r="3">
      <c r="A3" s="2" t="inlineStr">
        <is>
          <t>年</t>
        </is>
      </c>
      <c r="B3" s="2" t="inlineStr">
        <is>
          <t>年額</t>
        </is>
      </c>
      <c r="C3" s="2" t="inlineStr">
        <is>
          <t>累計（取得諸経費含む）</t>
        </is>
      </c>
      <c r="D3" s="2" t="inlineStr">
        <is>
          <t>簿価合計（土地代＋累計）</t>
        </is>
      </c>
    </row>
    <row r="4">
      <c r="A4" s="3" t="n">
        <v>1</v>
      </c>
      <c r="B4" s="12" t="n">
        <v>0.4416</v>
      </c>
      <c r="C4" s="12" t="n">
        <v>1.58976</v>
      </c>
      <c r="D4" s="12" t="n">
        <v>18.08976</v>
      </c>
    </row>
    <row r="5">
      <c r="A5" s="3" t="n">
        <v>2</v>
      </c>
      <c r="B5" s="12" t="n">
        <v>0.4416</v>
      </c>
      <c r="C5" s="12" t="n">
        <v>2.03136</v>
      </c>
      <c r="D5" s="12" t="n">
        <v>18.53136</v>
      </c>
    </row>
    <row r="6">
      <c r="A6" s="3" t="n">
        <v>3</v>
      </c>
      <c r="B6" s="12" t="n">
        <v>0.4416</v>
      </c>
      <c r="C6" s="12" t="n">
        <v>2.47296</v>
      </c>
      <c r="D6" s="12" t="n">
        <v>18.97296</v>
      </c>
    </row>
    <row r="7">
      <c r="A7" s="3" t="n">
        <v>4</v>
      </c>
      <c r="B7" s="12" t="n">
        <v>0.4416</v>
      </c>
      <c r="C7" s="12" t="n">
        <v>2.91456</v>
      </c>
      <c r="D7" s="12" t="n">
        <v>19.41456</v>
      </c>
    </row>
    <row r="8">
      <c r="A8" s="3" t="n">
        <v>5</v>
      </c>
      <c r="B8" s="12" t="n">
        <v>0.4416</v>
      </c>
      <c r="C8" s="12" t="n">
        <v>3.35616</v>
      </c>
      <c r="D8" s="12" t="n">
        <v>19.85616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2026-09-10T08:57:56Z</dcterms:created>
  <dcterms:modified xsi:type="dcterms:W3CDTF">2026-09-10T08:57:56Z</dcterms:modified>
</cp:coreProperties>
</file>