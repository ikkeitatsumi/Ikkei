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分譲マンション" sheetId="2" state="visible" r:id="rId2"/>
    <sheet name="ホテル" sheetId="3" state="visible" r:id="rId3"/>
    <sheet name="用途比較" sheetId="4" state="visible" r:id="rId4"/>
    <sheet name="感度分析" sheetId="5" state="visible" r:id="rId5"/>
    <sheet name="残余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0&quot;億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" fontId="3" fillId="0" borderId="1" pivotButton="0" quotePrefix="0" xfId="0"/>
    <xf numFmtId="0" fontId="2" fillId="0" borderId="0" pivotButton="0" quotePrefix="0" xfId="0"/>
    <xf numFmtId="2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2" fontId="3" fillId="0" borderId="1" pivotButton="0" quotePrefix="0" xfId="0"/>
    <xf numFmtId="3" fontId="2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3" fontId="0" fillId="0" borderId="0" pivotButton="0" quotePrefix="0" xfId="0"/>
    <xf numFmtId="166" fontId="0" fillId="0" borderId="1" pivotButton="0" quotePrefix="0" xfId="0"/>
    <xf numFmtId="0" fontId="4" fillId="0" borderId="0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</cols>
  <sheetData>
    <row r="1">
      <c r="A1" s="1" t="inlineStr">
        <is>
          <t>西麻布4丁目 土地（FACE西麻布） 収支試算 前提条件　※青字は変更可</t>
        </is>
      </c>
    </row>
    <row r="3">
      <c r="A3" s="2" t="inlineStr">
        <is>
          <t>項目</t>
        </is>
      </c>
      <c r="B3" s="2" t="inlineStr">
        <is>
          <t>値</t>
        </is>
      </c>
      <c r="C3" s="2" t="inlineStr">
        <is>
          <t>備考</t>
        </is>
      </c>
    </row>
    <row r="4">
      <c r="A4" s="3" t="inlineStr">
        <is>
          <t>土地面積(㎡)</t>
        </is>
      </c>
      <c r="B4" s="4" t="n">
        <v>330.99</v>
      </c>
      <c r="C4" s="3" t="inlineStr">
        <is>
          <t>登記簿。実測なし → 要確定測量</t>
        </is>
      </c>
    </row>
    <row r="5">
      <c r="A5" s="3" t="inlineStr">
        <is>
          <t>土地価格(円)</t>
        </is>
      </c>
      <c r="B5" s="4" t="n">
        <v>2500000000</v>
      </c>
      <c r="C5" s="3" t="inlineStr">
        <is>
          <t>募集価格25億円(税込)。価格交渉可</t>
        </is>
      </c>
    </row>
    <row r="6">
      <c r="A6" s="3" t="inlineStr">
        <is>
          <t>近隣商業地域の面積割合</t>
        </is>
      </c>
      <c r="B6" s="5" t="n">
        <v>0.15</v>
      </c>
      <c r="C6" s="3" t="inlineStr">
        <is>
          <t>用途地域図で要確認。一住(60/300)+近商(80/400)の跨り</t>
        </is>
      </c>
    </row>
    <row r="7">
      <c r="A7" s="3" t="inlineStr">
        <is>
          <t>容積率 一住</t>
        </is>
      </c>
      <c r="B7" s="5" t="n">
        <v>3</v>
      </c>
      <c r="C7" s="3" t="inlineStr"/>
    </row>
    <row r="8">
      <c r="A8" s="3" t="inlineStr">
        <is>
          <t>容積率 近商</t>
        </is>
      </c>
      <c r="B8" s="5" t="n">
        <v>4</v>
      </c>
      <c r="C8" s="3" t="inlineStr"/>
    </row>
    <row r="9">
      <c r="A9" s="3" t="inlineStr">
        <is>
          <t>前面道路幅員(m)</t>
        </is>
      </c>
      <c r="B9" s="6" t="n">
        <v>7.1</v>
      </c>
      <c r="C9" s="3" t="inlineStr">
        <is>
          <t>西側公道7.1m。南側私道4mは容積計算に不使用</t>
        </is>
      </c>
    </row>
    <row r="10">
      <c r="A10" s="3" t="inlineStr">
        <is>
          <t>道路幅員係数 一住</t>
        </is>
      </c>
      <c r="B10" s="6" t="n">
        <v>0.4</v>
      </c>
      <c r="C10" s="3" t="inlineStr">
        <is>
          <t>住居系 0.4</t>
        </is>
      </c>
    </row>
    <row r="11">
      <c r="A11" s="3" t="inlineStr">
        <is>
          <t>道路幅員係数 近商</t>
        </is>
      </c>
      <c r="B11" s="6" t="n">
        <v>0.6</v>
      </c>
      <c r="C11" s="3" t="inlineStr">
        <is>
          <t>その他 0.6</t>
        </is>
      </c>
    </row>
    <row r="12">
      <c r="A12" s="3" t="inlineStr">
        <is>
          <t>既存建物延床(㎡)</t>
        </is>
      </c>
      <c r="B12" s="4" t="n">
        <v>878.5700000000001</v>
      </c>
      <c r="C12" s="3" t="inlineStr">
        <is>
          <t>RC B1/3F 2002年</t>
        </is>
      </c>
    </row>
    <row r="13">
      <c r="A13" s="3" t="inlineStr">
        <is>
          <t>現行年間賃料(円)</t>
        </is>
      </c>
      <c r="B13" s="4" t="n">
        <v>95700000</v>
      </c>
      <c r="C13" s="3" t="inlineStr">
        <is>
          <t>レントロール 7,975,000円/月</t>
        </is>
      </c>
    </row>
    <row r="14">
      <c r="A14" s="3" t="inlineStr">
        <is>
          <t>取得〜退去 月数</t>
        </is>
      </c>
      <c r="B14" s="7" t="n">
        <v>3</v>
      </c>
      <c r="C14" s="3" t="inlineStr">
        <is>
          <t>2026/11取得→2027/1末退去想定</t>
        </is>
      </c>
    </row>
    <row r="15">
      <c r="A15" s="3" t="inlineStr">
        <is>
          <t>仲介手数料率</t>
        </is>
      </c>
      <c r="B15" s="5" t="n">
        <v>0.03</v>
      </c>
      <c r="C15" s="3" t="inlineStr">
        <is>
          <t>税抜。別途消費税</t>
        </is>
      </c>
    </row>
    <row r="16">
      <c r="A16" s="3" t="inlineStr">
        <is>
          <t>土地 固定資産税評価(円)</t>
        </is>
      </c>
      <c r="B16" s="4" t="n">
        <v>695100000</v>
      </c>
      <c r="C16" s="3" t="inlineStr">
        <is>
          <t>公示地価300万/㎡×0.7 想定</t>
        </is>
      </c>
    </row>
    <row r="17">
      <c r="A17" s="3" t="inlineStr">
        <is>
          <t>登録免許税率(土地)</t>
        </is>
      </c>
      <c r="B17" s="5" t="n">
        <v>0.015</v>
      </c>
      <c r="C17" s="3" t="inlineStr"/>
    </row>
    <row r="18">
      <c r="A18" s="3" t="inlineStr">
        <is>
          <t>不動産取得税率(宅地特例後)</t>
        </is>
      </c>
      <c r="B18" s="5" t="n">
        <v>0.015</v>
      </c>
      <c r="C18" s="3" t="inlineStr">
        <is>
          <t>3%×1/2</t>
        </is>
      </c>
    </row>
    <row r="19">
      <c r="A19" s="3" t="inlineStr">
        <is>
          <t>その他取得費用(円)</t>
        </is>
      </c>
      <c r="B19" s="4" t="n">
        <v>15000000</v>
      </c>
      <c r="C19" s="3" t="inlineStr">
        <is>
          <t>司法書士・印紙・測量・調査</t>
        </is>
      </c>
    </row>
    <row r="20">
      <c r="A20" s="3" t="inlineStr">
        <is>
          <t>固都税 年額(円)</t>
        </is>
      </c>
      <c r="B20" s="4" t="n">
        <v>13000000</v>
      </c>
      <c r="C20" s="3" t="inlineStr">
        <is>
          <t>土地+既存建物</t>
        </is>
      </c>
    </row>
    <row r="21">
      <c r="A21" s="3" t="inlineStr">
        <is>
          <t>解体 坪単価(円)</t>
        </is>
      </c>
      <c r="B21" s="4" t="n">
        <v>150000</v>
      </c>
      <c r="C21" s="3" t="inlineStr">
        <is>
          <t>RC・地下あり 東京</t>
        </is>
      </c>
    </row>
    <row r="22">
      <c r="A22" s="3" t="inlineStr">
        <is>
          <t>解体 追加費用(円)</t>
        </is>
      </c>
      <c r="B22" s="4" t="n">
        <v>20000000</v>
      </c>
      <c r="C22" s="3" t="inlineStr">
        <is>
          <t>アスベスト・埋戻し・近隣対策</t>
        </is>
      </c>
    </row>
    <row r="23">
      <c r="A23" s="3" t="inlineStr">
        <is>
          <t>設計監理率</t>
        </is>
      </c>
      <c r="B23" s="5" t="n">
        <v>0.05</v>
      </c>
      <c r="C23" s="3" t="inlineStr">
        <is>
          <t>本体工事比</t>
        </is>
      </c>
    </row>
    <row r="24">
      <c r="A24" s="3" t="inlineStr">
        <is>
          <t>外構・調査・近隣対策等(円)</t>
        </is>
      </c>
      <c r="B24" s="4" t="n">
        <v>30000000</v>
      </c>
      <c r="C24" s="3" t="inlineStr"/>
    </row>
    <row r="25">
      <c r="A25" s="3" t="inlineStr">
        <is>
          <t>予備費率</t>
        </is>
      </c>
      <c r="B25" s="5" t="n">
        <v>0.03</v>
      </c>
      <c r="C25" s="3" t="inlineStr">
        <is>
          <t>本体工事比</t>
        </is>
      </c>
    </row>
    <row r="26">
      <c r="A26" s="3" t="inlineStr">
        <is>
          <t>金利(年)</t>
        </is>
      </c>
      <c r="B26" s="5" t="n">
        <v>0.02</v>
      </c>
      <c r="C26" s="3" t="inlineStr"/>
    </row>
    <row r="27">
      <c r="A27" s="3" t="inlineStr">
        <is>
          <t>融資手数料率</t>
        </is>
      </c>
      <c r="B27" s="5" t="n">
        <v>0.005</v>
      </c>
      <c r="C27" s="3" t="inlineStr"/>
    </row>
    <row r="29">
      <c r="A29" s="8" t="inlineStr">
        <is>
          <t>計算値</t>
        </is>
      </c>
    </row>
    <row r="30">
      <c r="A30" s="3" t="inlineStr">
        <is>
          <t>土地面積(坪)</t>
        </is>
      </c>
      <c r="B30" s="9">
        <f>'前提条件'!$B$4/3.30579</f>
        <v/>
      </c>
    </row>
    <row r="31">
      <c r="A31" s="3" t="inlineStr">
        <is>
          <t>土地 坪単価(万円)</t>
        </is>
      </c>
      <c r="B31" s="10">
        <f>'前提条件'!$B$5/B30/10000</f>
        <v/>
      </c>
    </row>
    <row r="32">
      <c r="A32" s="3" t="inlineStr">
        <is>
          <t>許容容積率(道路幅員反映)</t>
        </is>
      </c>
      <c r="B32" s="11">
        <f>(1-'前提条件'!$B$6)*MIN('前提条件'!$B$7,'前提条件'!$B$9*'前提条件'!$B$10)+'前提条件'!$B$6*MIN('前提条件'!$B$8,'前提条件'!$B$9*'前提条件'!$B$11)</f>
        <v/>
      </c>
    </row>
    <row r="33">
      <c r="A33" s="3" t="inlineStr">
        <is>
          <t>容積対象床面積(㎡)</t>
        </is>
      </c>
      <c r="B33" s="10">
        <f>'前提条件'!$B$4*B32</f>
        <v/>
      </c>
    </row>
    <row r="34">
      <c r="A34" s="3" t="inlineStr">
        <is>
          <t>既存建物解体費(円)</t>
        </is>
      </c>
      <c r="B34" s="10">
        <f>'前提条件'!$B$12/3.30579*'前提条件'!$B$21+'前提条件'!$B$22</f>
        <v/>
      </c>
    </row>
    <row r="35">
      <c r="A35" s="3" t="inlineStr">
        <is>
          <t>取得諸経費(円)</t>
        </is>
      </c>
      <c r="B35" s="10">
        <f>'前提条件'!$B$5*'前提条件'!$B$15*1.1+'前提条件'!$B$16*('前提条件'!$B$17+'前提条件'!$B$18)+'前提条件'!$B$19</f>
        <v/>
      </c>
    </row>
    <row r="36">
      <c r="A36" s="3" t="inlineStr">
        <is>
          <t>退去までの賃料収入(円)</t>
        </is>
      </c>
      <c r="B36" s="10">
        <f>'前提条件'!$B$13/12*'前提条件'!$B$14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1" t="inlineStr">
        <is>
          <t>分譲マンション 収支（数式）　※青字は変更可</t>
        </is>
      </c>
    </row>
    <row r="3">
      <c r="A3" s="2" t="inlineStr">
        <is>
          <t>前提</t>
        </is>
      </c>
      <c r="B3" s="2" t="inlineStr">
        <is>
          <t>値</t>
        </is>
      </c>
      <c r="C3" s="2" t="inlineStr">
        <is>
          <t>備考</t>
        </is>
      </c>
    </row>
    <row r="4">
      <c r="A4" s="3" t="inlineStr">
        <is>
          <t>延床/容積対象 倍率</t>
        </is>
      </c>
      <c r="B4" s="12" t="n">
        <v>1.25</v>
      </c>
      <c r="C4" s="3" t="inlineStr">
        <is>
          <t>共用廊下・階段・EV・地下住宅1/3 等の不算入分</t>
        </is>
      </c>
    </row>
    <row r="5">
      <c r="A5" s="3" t="inlineStr">
        <is>
          <t>専有/容積対象 倍率</t>
        </is>
      </c>
      <c r="B5" s="12" t="n">
        <v>0.85</v>
      </c>
      <c r="C5" s="3" t="inlineStr"/>
    </row>
    <row r="6">
      <c r="A6" s="3" t="inlineStr">
        <is>
          <t>販売坪単価(円)</t>
        </is>
      </c>
      <c r="B6" s="4" t="n">
        <v>15000000</v>
      </c>
      <c r="C6" s="3" t="inlineStr">
        <is>
          <t>港区2026年1-4月平均758万/坪。西麻布小規模高級で1,500万想定</t>
        </is>
      </c>
    </row>
    <row r="7">
      <c r="A7" s="3" t="inlineStr">
        <is>
          <t>本体工事 坪単価(円)</t>
        </is>
      </c>
      <c r="B7" s="4" t="n">
        <v>2000000</v>
      </c>
      <c r="C7" s="3" t="inlineStr">
        <is>
          <t>RC造 東京 小規模高級仕様</t>
        </is>
      </c>
    </row>
    <row r="8">
      <c r="A8" s="3" t="inlineStr">
        <is>
          <t>販売経費率(売上比)</t>
        </is>
      </c>
      <c r="B8" s="5" t="n">
        <v>0.05</v>
      </c>
      <c r="C8" s="3" t="inlineStr">
        <is>
          <t>広告・販売手数料</t>
        </is>
      </c>
    </row>
    <row r="9">
      <c r="A9" s="3" t="inlineStr">
        <is>
          <t>事業期間(月)</t>
        </is>
      </c>
      <c r="B9" s="7" t="n">
        <v>27</v>
      </c>
      <c r="C9" s="3" t="inlineStr">
        <is>
          <t>退去3+解体3+工事18+引渡3</t>
        </is>
      </c>
    </row>
    <row r="11">
      <c r="A11" s="2" t="inlineStr">
        <is>
          <t>項目</t>
        </is>
      </c>
      <c r="B11" s="2" t="inlineStr">
        <is>
          <t>金額(円)</t>
        </is>
      </c>
      <c r="C11" s="2" t="inlineStr">
        <is>
          <t>算式</t>
        </is>
      </c>
    </row>
    <row r="12">
      <c r="A12" s="3" t="inlineStr">
        <is>
          <t>土地代</t>
        </is>
      </c>
      <c r="B12" s="10">
        <f>'前提条件'!$B$5</f>
        <v/>
      </c>
    </row>
    <row r="13">
      <c r="A13" s="3" t="inlineStr">
        <is>
          <t>取得諸経費</t>
        </is>
      </c>
      <c r="B13" s="10">
        <f>'前提条件'!$B$35</f>
        <v/>
      </c>
    </row>
    <row r="14">
      <c r="A14" s="3" t="inlineStr">
        <is>
          <t>固都税(事業期間)</t>
        </is>
      </c>
      <c r="B14" s="10">
        <f>'前提条件'!$B$20*$B$9/12</f>
        <v/>
      </c>
    </row>
    <row r="15">
      <c r="A15" s="3" t="inlineStr">
        <is>
          <t>既存建物解体</t>
        </is>
      </c>
      <c r="B15" s="10">
        <f>'前提条件'!$B$34</f>
        <v/>
      </c>
    </row>
    <row r="16">
      <c r="A16" s="3" t="inlineStr">
        <is>
          <t>退去までの賃料収入</t>
        </is>
      </c>
      <c r="B16" s="10">
        <f>-'前提条件'!$B$36</f>
        <v/>
      </c>
    </row>
    <row r="17">
      <c r="A17" s="3" t="inlineStr">
        <is>
          <t>本体工事費</t>
        </is>
      </c>
      <c r="B17" s="10">
        <f>'前提条件'!$B$33*$B$4/3.30579*$B$7</f>
        <v/>
      </c>
    </row>
    <row r="18">
      <c r="A18" s="3" t="inlineStr">
        <is>
          <t>設計監理</t>
        </is>
      </c>
      <c r="B18" s="10">
        <f>B17*'前提条件'!$B$23</f>
        <v/>
      </c>
    </row>
    <row r="19">
      <c r="A19" s="3" t="inlineStr">
        <is>
          <t>外構・調査・近隣対策等</t>
        </is>
      </c>
      <c r="B19" s="10">
        <f>'前提条件'!$B$24</f>
        <v/>
      </c>
    </row>
    <row r="20">
      <c r="A20" s="3" t="inlineStr">
        <is>
          <t>予備費</t>
        </is>
      </c>
      <c r="B20" s="10">
        <f>B17*'前提条件'!$B$25</f>
        <v/>
      </c>
    </row>
    <row r="21">
      <c r="A21" s="3" t="inlineStr">
        <is>
          <t>販売経費</t>
        </is>
      </c>
      <c r="B21" s="10">
        <f>B28*$B$8</f>
        <v/>
      </c>
    </row>
    <row r="22">
      <c r="A22" s="3" t="inlineStr">
        <is>
          <t>金利・融資手数料</t>
        </is>
      </c>
      <c r="B22" s="10">
        <f>(SUM(B12:B16)+SUM(B18:B21))*'前提条件'!$B$26*$B$9/12+B17*'前提条件'!$B$26*$B$9/12*0.5+SUM(B12:B21)*'前提条件'!$B$27</f>
        <v/>
      </c>
    </row>
    <row r="23">
      <c r="A23" s="8" t="inlineStr">
        <is>
          <t>総事業費</t>
        </is>
      </c>
      <c r="B23" s="13">
        <f>SUM(B12:B22)</f>
        <v/>
      </c>
    </row>
    <row r="25">
      <c r="A25" s="2" t="inlineStr">
        <is>
          <t>収入・指標</t>
        </is>
      </c>
      <c r="B25" s="2" t="inlineStr">
        <is>
          <t>値</t>
        </is>
      </c>
      <c r="C25" s="2" t="inlineStr"/>
    </row>
    <row r="26">
      <c r="A26" s="3" t="inlineStr">
        <is>
          <t>専有面積(㎡)</t>
        </is>
      </c>
      <c r="B26" s="10">
        <f>'前提条件'!$B$33*$B$5</f>
        <v/>
      </c>
    </row>
    <row r="27">
      <c r="A27" s="3" t="inlineStr">
        <is>
          <t>専有面積(坪)</t>
        </is>
      </c>
      <c r="B27" s="14">
        <f>B26/3.30579</f>
        <v/>
      </c>
    </row>
    <row r="28">
      <c r="A28" s="3" t="inlineStr">
        <is>
          <t>売上高(円)</t>
        </is>
      </c>
      <c r="B28" s="10">
        <f>B27*$B$6</f>
        <v/>
      </c>
    </row>
    <row r="29">
      <c r="A29" s="3" t="inlineStr">
        <is>
          <t>事業利益(円)</t>
        </is>
      </c>
      <c r="B29" s="10">
        <f>B28-B23</f>
        <v/>
      </c>
    </row>
    <row r="30">
      <c r="A30" s="3" t="inlineStr">
        <is>
          <t>利益率(売上比)</t>
        </is>
      </c>
      <c r="B30" s="11">
        <f>B29/B28</f>
        <v/>
      </c>
    </row>
    <row r="31">
      <c r="A31" s="3" t="inlineStr">
        <is>
          <t>利益率(総事業費比)</t>
        </is>
      </c>
      <c r="B31" s="11">
        <f>B29/B23</f>
        <v/>
      </c>
    </row>
    <row r="32">
      <c r="A32" s="3" t="inlineStr">
        <is>
          <t>損益分岐 販売坪単価(円)</t>
        </is>
      </c>
      <c r="B32" s="10">
        <f>B23/B27</f>
        <v/>
      </c>
    </row>
    <row r="33">
      <c r="A33" s="3" t="inlineStr">
        <is>
          <t>想定戸数(約100㎡/戸)</t>
        </is>
      </c>
      <c r="B33" s="15">
        <f>ROUND(B26/100,0)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</cols>
  <sheetData>
    <row r="1">
      <c r="A1" s="1" t="inlineStr">
        <is>
          <t>ホテル 収支（数式）　※青字は変更可。初期値はアップスケール想定</t>
        </is>
      </c>
    </row>
    <row r="3">
      <c r="A3" s="2" t="inlineStr">
        <is>
          <t>前提</t>
        </is>
      </c>
      <c r="B3" s="2" t="inlineStr">
        <is>
          <t>値</t>
        </is>
      </c>
      <c r="C3" s="2" t="inlineStr">
        <is>
          <t>備考</t>
        </is>
      </c>
    </row>
    <row r="4">
      <c r="A4" s="3" t="inlineStr">
        <is>
          <t>延床/容積対象 倍率</t>
        </is>
      </c>
      <c r="B4" s="12" t="n">
        <v>1.06</v>
      </c>
      <c r="C4" s="3" t="inlineStr">
        <is>
          <t>ホテルは廊下も容積算入。機械室のみ不算入</t>
        </is>
      </c>
    </row>
    <row r="5">
      <c r="A5" s="3" t="inlineStr">
        <is>
          <t>延床/客室(㎡/室)</t>
        </is>
      </c>
      <c r="B5" s="6" t="n">
        <v>36</v>
      </c>
      <c r="C5" s="3" t="inlineStr">
        <is>
          <t>宿泊特化28 / アップスケール36 / ラグジュアリー50</t>
        </is>
      </c>
    </row>
    <row r="6">
      <c r="A6" s="3" t="inlineStr">
        <is>
          <t>ADR(円)</t>
        </is>
      </c>
      <c r="B6" s="4" t="n">
        <v>45000</v>
      </c>
      <c r="C6" s="3" t="inlineStr">
        <is>
          <t>宿泊特化28,000 / アップスケール45,000 / ラグジュアリー90,000</t>
        </is>
      </c>
    </row>
    <row r="7">
      <c r="A7" s="3" t="inlineStr">
        <is>
          <t>稼働率</t>
        </is>
      </c>
      <c r="B7" s="5" t="n">
        <v>0.8</v>
      </c>
      <c r="C7" s="3" t="inlineStr"/>
    </row>
    <row r="8">
      <c r="A8" s="3" t="inlineStr">
        <is>
          <t>料飲・その他売上比率</t>
        </is>
      </c>
      <c r="B8" s="5" t="n">
        <v>0.08</v>
      </c>
      <c r="C8" s="3" t="inlineStr">
        <is>
          <t>客室売上比</t>
        </is>
      </c>
    </row>
    <row r="9">
      <c r="A9" s="3" t="inlineStr">
        <is>
          <t>所有者NOI率(総売上比)</t>
        </is>
      </c>
      <c r="B9" s="5" t="n">
        <v>0.26</v>
      </c>
      <c r="C9" s="3" t="inlineStr">
        <is>
          <t>賃貸借型の賃料 / MC型のGOP−手数料−FF&amp;E積立</t>
        </is>
      </c>
    </row>
    <row r="10">
      <c r="A10" s="3" t="inlineStr">
        <is>
          <t>本体工事 坪単価(円)</t>
        </is>
      </c>
      <c r="B10" s="4" t="n">
        <v>2200000</v>
      </c>
      <c r="C10" s="3" t="inlineStr"/>
    </row>
    <row r="11">
      <c r="A11" s="3" t="inlineStr">
        <is>
          <t>FF&amp;E(円/室)</t>
        </is>
      </c>
      <c r="B11" s="4" t="n">
        <v>4000000</v>
      </c>
      <c r="C11" s="3" t="inlineStr"/>
    </row>
    <row r="12">
      <c r="A12" s="3" t="inlineStr">
        <is>
          <t>開業準備費(円)</t>
        </is>
      </c>
      <c r="B12" s="4" t="n">
        <v>30000000</v>
      </c>
      <c r="C12" s="3" t="inlineStr"/>
    </row>
    <row r="13">
      <c r="A13" s="3" t="inlineStr">
        <is>
          <t>事業期間(月)</t>
        </is>
      </c>
      <c r="B13" s="7" t="n">
        <v>27</v>
      </c>
      <c r="C13" s="3" t="inlineStr"/>
    </row>
    <row r="14">
      <c r="A14" s="3" t="inlineStr">
        <is>
          <t>還元利回り(Cap)</t>
        </is>
      </c>
      <c r="B14" s="5" t="n">
        <v>0.045</v>
      </c>
      <c r="C14" s="3" t="inlineStr">
        <is>
          <t>CBRE 2026/3 東京ホテル4.2%に保守性を上乗せ</t>
        </is>
      </c>
    </row>
    <row r="15">
      <c r="A15" s="3" t="inlineStr">
        <is>
          <t>運営時固都税倍率</t>
        </is>
      </c>
      <c r="B15" s="6" t="n">
        <v>1.6</v>
      </c>
      <c r="C15" s="3" t="inlineStr">
        <is>
          <t>新築建物分の増加</t>
        </is>
      </c>
    </row>
    <row r="17">
      <c r="A17" s="3" t="inlineStr">
        <is>
          <t>延床面積(㎡)</t>
        </is>
      </c>
      <c r="B17" s="16">
        <f>'前提条件'!$B$33*$B$4</f>
        <v/>
      </c>
    </row>
    <row r="18">
      <c r="A18" s="3" t="inlineStr">
        <is>
          <t>客室数</t>
        </is>
      </c>
      <c r="B18">
        <f>INT($B$17/$B$5)</f>
        <v/>
      </c>
    </row>
    <row r="20">
      <c r="A20" s="2" t="inlineStr">
        <is>
          <t>項目</t>
        </is>
      </c>
      <c r="B20" s="2" t="inlineStr">
        <is>
          <t>金額(円)</t>
        </is>
      </c>
      <c r="C20" s="2" t="inlineStr"/>
    </row>
    <row r="21">
      <c r="A21" s="3" t="inlineStr">
        <is>
          <t>土地代</t>
        </is>
      </c>
      <c r="B21" s="10">
        <f>'前提条件'!$B$5</f>
        <v/>
      </c>
    </row>
    <row r="22">
      <c r="A22" s="3" t="inlineStr">
        <is>
          <t>取得諸経費</t>
        </is>
      </c>
      <c r="B22" s="10">
        <f>'前提条件'!$B$35</f>
        <v/>
      </c>
    </row>
    <row r="23">
      <c r="A23" s="3" t="inlineStr">
        <is>
          <t>固都税(事業期間)</t>
        </is>
      </c>
      <c r="B23" s="10">
        <f>'前提条件'!$B$20*$B$13/12</f>
        <v/>
      </c>
    </row>
    <row r="24">
      <c r="A24" s="3" t="inlineStr">
        <is>
          <t>既存建物解体</t>
        </is>
      </c>
      <c r="B24" s="10">
        <f>'前提条件'!$B$34</f>
        <v/>
      </c>
    </row>
    <row r="25">
      <c r="A25" s="3" t="inlineStr">
        <is>
          <t>退去までの賃料収入</t>
        </is>
      </c>
      <c r="B25" s="10">
        <f>-'前提条件'!$B$36</f>
        <v/>
      </c>
    </row>
    <row r="26">
      <c r="A26" s="3" t="inlineStr">
        <is>
          <t>本体工事費</t>
        </is>
      </c>
      <c r="B26" s="10">
        <f>$B$17/3.30579*$B$10</f>
        <v/>
      </c>
    </row>
    <row r="27">
      <c r="A27" s="3" t="inlineStr">
        <is>
          <t>設計監理</t>
        </is>
      </c>
      <c r="B27" s="10">
        <f>B26*'前提条件'!$B$23</f>
        <v/>
      </c>
    </row>
    <row r="28">
      <c r="A28" s="3" t="inlineStr">
        <is>
          <t>FF&amp;E</t>
        </is>
      </c>
      <c r="B28" s="10">
        <f>$B$18*$B$11</f>
        <v/>
      </c>
    </row>
    <row r="29">
      <c r="A29" s="3" t="inlineStr">
        <is>
          <t>外構・調査・近隣対策等</t>
        </is>
      </c>
      <c r="B29" s="10">
        <f>'前提条件'!$B$24</f>
        <v/>
      </c>
    </row>
    <row r="30">
      <c r="A30" s="3" t="inlineStr">
        <is>
          <t>開業準備費</t>
        </is>
      </c>
      <c r="B30" s="10">
        <f>$B$12</f>
        <v/>
      </c>
    </row>
    <row r="31">
      <c r="A31" s="3" t="inlineStr">
        <is>
          <t>予備費</t>
        </is>
      </c>
      <c r="B31" s="10">
        <f>B26*'前提条件'!$B$25</f>
        <v/>
      </c>
    </row>
    <row r="32">
      <c r="A32" s="3" t="inlineStr">
        <is>
          <t>金利・融資手数料</t>
        </is>
      </c>
      <c r="B32" s="10">
        <f>(SUM(B21:B25)+SUM(B27:B31))*'前提条件'!$B$26*$B$13/12+B26*'前提条件'!$B$26*$B$13/12*0.5+SUM(B21:B31)*'前提条件'!$B$27</f>
        <v/>
      </c>
    </row>
    <row r="33">
      <c r="A33" s="8" t="inlineStr">
        <is>
          <t>総事業費</t>
        </is>
      </c>
      <c r="B33" s="13">
        <f>SUM(B21:B32)</f>
        <v/>
      </c>
    </row>
    <row r="35">
      <c r="A35" s="2" t="inlineStr">
        <is>
          <t>収入・指標</t>
        </is>
      </c>
      <c r="B35" s="2" t="inlineStr">
        <is>
          <t>値</t>
        </is>
      </c>
      <c r="C35" s="2" t="inlineStr"/>
    </row>
    <row r="36">
      <c r="A36" s="3" t="inlineStr">
        <is>
          <t>RevPAR(円)</t>
        </is>
      </c>
      <c r="B36" s="10">
        <f>$B$6*$B$7</f>
        <v/>
      </c>
    </row>
    <row r="37">
      <c r="A37" s="3" t="inlineStr">
        <is>
          <t>客室売上(円/年)</t>
        </is>
      </c>
      <c r="B37" s="10">
        <f>$B$18*$B$6*$B$7*365</f>
        <v/>
      </c>
    </row>
    <row r="38">
      <c r="A38" s="3" t="inlineStr">
        <is>
          <t>総売上(円/年)</t>
        </is>
      </c>
      <c r="B38" s="10">
        <f>B37*(1+$B$8)</f>
        <v/>
      </c>
    </row>
    <row r="39">
      <c r="A39" s="3" t="inlineStr">
        <is>
          <t>所有者NOI(円/年)</t>
        </is>
      </c>
      <c r="B39" s="10">
        <f>B38*$B$9-'前提条件'!$B$20*$B$15</f>
        <v/>
      </c>
    </row>
    <row r="40">
      <c r="A40" s="3" t="inlineStr">
        <is>
          <t>NOI利回り(総事業費比)</t>
        </is>
      </c>
      <c r="B40" s="11">
        <f>B39/B33</f>
        <v/>
      </c>
    </row>
    <row r="41">
      <c r="A41" s="3" t="inlineStr">
        <is>
          <t>収益価格(円)</t>
        </is>
      </c>
      <c r="B41" s="10">
        <f>B39/$B$14</f>
        <v/>
      </c>
    </row>
    <row r="42">
      <c r="A42" s="3" t="inlineStr">
        <is>
          <t>含み損益(収益価格−総事業費)</t>
        </is>
      </c>
      <c r="B42" s="10">
        <f>B41-B33</f>
        <v/>
      </c>
    </row>
    <row r="43">
      <c r="A43" s="3" t="inlineStr">
        <is>
          <t>損益分岐ADR(円)</t>
        </is>
      </c>
      <c r="B43" s="10">
        <f>((B33*$B$14+'前提条件'!$B$20*$B$15)/$B$9/(1+$B$8))/($B$18*$B$7*365)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用途別 収支比較（土地25億円・基準ケース、feasibility.py の計算値）</t>
        </is>
      </c>
    </row>
    <row r="3">
      <c r="A3" s="2" t="inlineStr">
        <is>
          <t>用途</t>
        </is>
      </c>
      <c r="B3" s="2" t="inlineStr">
        <is>
          <t>総事業費</t>
        </is>
      </c>
      <c r="C3" s="2" t="inlineStr">
        <is>
          <t>年間売上/売上高</t>
        </is>
      </c>
      <c r="D3" s="2" t="inlineStr">
        <is>
          <t>年間NOI/事業利益</t>
        </is>
      </c>
      <c r="E3" s="2" t="inlineStr">
        <is>
          <t>利回り/利益率</t>
        </is>
      </c>
      <c r="F3" s="2" t="inlineStr">
        <is>
          <t>収益価格</t>
        </is>
      </c>
      <c r="G3" s="2" t="inlineStr">
        <is>
          <t>含み損益</t>
        </is>
      </c>
      <c r="H3" s="2" t="inlineStr">
        <is>
          <t>備考</t>
        </is>
      </c>
    </row>
    <row r="4">
      <c r="A4" s="3" t="inlineStr">
        <is>
          <t>分譲マンション</t>
        </is>
      </c>
      <c r="B4" s="17" t="n">
        <v>38.90973422828129</v>
      </c>
      <c r="C4" s="17" t="n">
        <v>38.47627712286624</v>
      </c>
      <c r="D4" s="17" t="n">
        <v>-0.4334571054150486</v>
      </c>
      <c r="E4" s="11" t="n">
        <v>-0.01126556771672297</v>
      </c>
      <c r="F4" s="3" t="n"/>
      <c r="G4" s="3" t="n"/>
      <c r="H4" s="3" t="inlineStr">
        <is>
          <t>専有257坪・9戸</t>
        </is>
      </c>
    </row>
    <row r="5">
      <c r="A5" s="3" t="inlineStr">
        <is>
          <t>ホテル（宿泊特化）</t>
        </is>
      </c>
      <c r="B5" s="17" t="n">
        <v>36.9013737837712</v>
      </c>
      <c r="C5" s="17" t="n">
        <v>3.3106157</v>
      </c>
      <c r="D5" s="17" t="n">
        <v>0.652760082</v>
      </c>
      <c r="E5" s="11" t="n">
        <v>0.01768931655024389</v>
      </c>
      <c r="F5" s="17" t="n">
        <v>14.5057796</v>
      </c>
      <c r="G5" s="17" t="n">
        <v>-22.3955941837712</v>
      </c>
      <c r="H5" s="3" t="inlineStr">
        <is>
          <t>37室・ADR28,000円・稼働85%</t>
        </is>
      </c>
    </row>
    <row r="6">
      <c r="A6" s="3" t="inlineStr">
        <is>
          <t>ホテル（アップスケール）</t>
        </is>
      </c>
      <c r="B6" s="17" t="n">
        <v>37.85921970445182</v>
      </c>
      <c r="C6" s="17" t="n">
        <v>4.115448</v>
      </c>
      <c r="D6" s="17" t="n">
        <v>0.86201648</v>
      </c>
      <c r="E6" s="11" t="n">
        <v>0.02276899753162732</v>
      </c>
      <c r="F6" s="17" t="n">
        <v>19.15592177777778</v>
      </c>
      <c r="G6" s="17" t="n">
        <v>-18.70329792667404</v>
      </c>
      <c r="H6" s="3" t="inlineStr">
        <is>
          <t>29室・ADR45,000円・稼働80%</t>
        </is>
      </c>
    </row>
    <row r="7">
      <c r="A7" s="3" t="inlineStr">
        <is>
          <t>ホテル（ラグジュアリー）</t>
        </is>
      </c>
      <c r="B7" s="17" t="n">
        <v>39.82741154581307</v>
      </c>
      <c r="C7" s="17" t="n">
        <v>5.711958</v>
      </c>
      <c r="D7" s="17" t="n">
        <v>1.27710908</v>
      </c>
      <c r="E7" s="11" t="n">
        <v>0.03206608289195381</v>
      </c>
      <c r="F7" s="17" t="n">
        <v>28.38020177777778</v>
      </c>
      <c r="G7" s="17" t="n">
        <v>-11.4472097680353</v>
      </c>
      <c r="H7" s="3" t="inlineStr">
        <is>
          <t>21室・ADR90,000円・稼働72%</t>
        </is>
      </c>
    </row>
    <row r="8">
      <c r="A8" s="3" t="inlineStr">
        <is>
          <t>賃貸レジデンス</t>
        </is>
      </c>
      <c r="B8" s="17" t="n">
        <v>36.88972967933081</v>
      </c>
      <c r="C8" s="17" t="n">
        <v>0.6433233534943236</v>
      </c>
      <c r="D8" s="17" t="n">
        <v>0.3066586827954589</v>
      </c>
      <c r="E8" s="11" t="n">
        <v>0.008312847111137242</v>
      </c>
      <c r="F8" s="17" t="n">
        <v>8.288072507985376</v>
      </c>
      <c r="G8" s="17" t="n">
        <v>-28.60165717134543</v>
      </c>
      <c r="H8" s="3" t="inlineStr">
        <is>
          <t>貸室257坪・22,000円/坪</t>
        </is>
      </c>
    </row>
    <row r="9">
      <c r="A9" s="3" t="inlineStr">
        <is>
          <t>店舗ビル建替</t>
        </is>
      </c>
      <c r="B9" s="17" t="n">
        <v>35.54803926295227</v>
      </c>
      <c r="C9" s="17" t="n">
        <v>1.019467438647464</v>
      </c>
      <c r="D9" s="17" t="n">
        <v>0.6585473228503443</v>
      </c>
      <c r="E9" s="11" t="n">
        <v>0.01852555967936814</v>
      </c>
      <c r="F9" s="17" t="n">
        <v>16.46368307125861</v>
      </c>
      <c r="G9" s="17" t="n">
        <v>-19.08435619169367</v>
      </c>
      <c r="H9" s="3" t="inlineStr">
        <is>
          <t>貸室257坪・36,000円/坪</t>
        </is>
      </c>
    </row>
    <row r="10">
      <c r="A10" s="3" t="inlineStr">
        <is>
          <t>現況保有（再テナント）</t>
        </is>
      </c>
      <c r="B10" s="17" t="n">
        <v>26.18353</v>
      </c>
      <c r="C10" s="17" t="n">
        <v>0.8852184000000002</v>
      </c>
      <c r="D10" s="17" t="n">
        <v>0.6309574800000002</v>
      </c>
      <c r="E10" s="11" t="n">
        <v>0.02409749487559546</v>
      </c>
      <c r="F10" s="17" t="n">
        <v>18.02735657142857</v>
      </c>
      <c r="G10" s="17" t="n">
        <v>-8.156173428571426</v>
      </c>
      <c r="H10" s="3" t="inlineStr">
        <is>
          <t>再募集後ベース</t>
        </is>
      </c>
    </row>
    <row r="12">
      <c r="A12" s="18" t="inlineStr">
        <is>
          <t>※ 保有型は「収益価格＝NOI÷還元利回り」と総事業費の差を含み損益として表示。ホテル4.5%・賃貸住宅3.7%・店舗4.0%・現況保有3.5%。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分譲マンション 事業利益（億円）と利益率　行：販売坪単価 / 列：土地価格</t>
        </is>
      </c>
    </row>
    <row r="3">
      <c r="A3" s="2" t="inlineStr">
        <is>
          <t>販売坪単価</t>
        </is>
      </c>
      <c r="B3" s="2" t="inlineStr">
        <is>
          <t>土地18億 利益</t>
        </is>
      </c>
      <c r="C3" s="2" t="inlineStr">
        <is>
          <t>土地20億 利益</t>
        </is>
      </c>
      <c r="D3" s="2" t="inlineStr">
        <is>
          <t>土地22億 利益</t>
        </is>
      </c>
      <c r="E3" s="2" t="inlineStr">
        <is>
          <t>土地25億 利益</t>
        </is>
      </c>
      <c r="F3" s="2" t="inlineStr">
        <is>
          <t>土地18億 利益率</t>
        </is>
      </c>
      <c r="G3" s="2" t="inlineStr">
        <is>
          <t>土地20億 利益率</t>
        </is>
      </c>
      <c r="H3" s="2" t="inlineStr">
        <is>
          <t>土地22億 利益率</t>
        </is>
      </c>
      <c r="I3" s="2" t="inlineStr">
        <is>
          <t>土地25億 利益率</t>
        </is>
      </c>
    </row>
    <row r="4">
      <c r="A4" s="3" t="inlineStr">
        <is>
          <t>1,200万円/坪</t>
        </is>
      </c>
      <c r="B4" s="19" t="n">
        <v>-0.1321616201982021</v>
      </c>
      <c r="C4" s="19" t="n">
        <v>-2.301461620198202</v>
      </c>
      <c r="D4" s="19" t="n">
        <v>-4.470761620198203</v>
      </c>
      <c r="E4" s="19" t="n">
        <v>-7.724711620198202</v>
      </c>
      <c r="F4" s="20" t="n">
        <v>-0.004293607323811846</v>
      </c>
      <c r="G4" s="20" t="n">
        <v>-0.07476885084440954</v>
      </c>
      <c r="H4" s="20" t="n">
        <v>-0.1452440943650072</v>
      </c>
      <c r="I4" s="20" t="n">
        <v>-0.2509569596459038</v>
      </c>
    </row>
    <row r="5">
      <c r="A5" s="3" t="inlineStr">
        <is>
          <t>1,400万円/坪</t>
        </is>
      </c>
      <c r="B5" s="14" t="n">
        <v>4.728674722990565</v>
      </c>
      <c r="C5" s="19" t="n">
        <v>2.559374722990565</v>
      </c>
      <c r="D5" s="19" t="n">
        <v>0.3900747229905653</v>
      </c>
      <c r="E5" s="19" t="n">
        <v>-2.863875277009435</v>
      </c>
      <c r="F5" s="11" t="n">
        <v>0.1316769080081613</v>
      </c>
      <c r="G5" s="20" t="n">
        <v>0.07126955641907752</v>
      </c>
      <c r="H5" s="20" t="n">
        <v>0.01086220482999379</v>
      </c>
      <c r="I5" s="20" t="n">
        <v>-0.0797488225536318</v>
      </c>
    </row>
    <row r="6">
      <c r="A6" s="3" t="inlineStr">
        <is>
          <t>1,500万円/坪</t>
        </is>
      </c>
      <c r="B6" s="21" t="n">
        <v>7.159092894584951</v>
      </c>
      <c r="C6" s="14" t="n">
        <v>4.989792894584951</v>
      </c>
      <c r="D6" s="19" t="n">
        <v>2.820492894584951</v>
      </c>
      <c r="E6" s="19" t="n">
        <v>-0.4334571054150486</v>
      </c>
      <c r="F6" s="22" t="n">
        <v>0.1860651141409506</v>
      </c>
      <c r="G6" s="11" t="n">
        <v>0.1296849193244724</v>
      </c>
      <c r="H6" s="20" t="n">
        <v>0.07330472450799425</v>
      </c>
      <c r="I6" s="20" t="n">
        <v>-0.01126556771672297</v>
      </c>
    </row>
    <row r="7">
      <c r="A7" s="3" t="inlineStr">
        <is>
          <t>1,600万円/坪</t>
        </is>
      </c>
      <c r="B7" s="21" t="n">
        <v>9.589511066179332</v>
      </c>
      <c r="C7" s="21" t="n">
        <v>7.420211066179332</v>
      </c>
      <c r="D7" s="14" t="n">
        <v>5.250911066179333</v>
      </c>
      <c r="E7" s="19" t="n">
        <v>1.996961066179333</v>
      </c>
      <c r="F7" s="22" t="n">
        <v>0.2336547945071411</v>
      </c>
      <c r="G7" s="22" t="n">
        <v>0.1807983618666928</v>
      </c>
      <c r="H7" s="11" t="n">
        <v>0.1279419292262445</v>
      </c>
      <c r="I7" s="20" t="n">
        <v>0.04865728026557214</v>
      </c>
    </row>
    <row r="8">
      <c r="A8" s="3" t="inlineStr">
        <is>
          <t>1,800万円/坪</t>
        </is>
      </c>
      <c r="B8" s="21" t="n">
        <v>14.4503474093681</v>
      </c>
      <c r="C8" s="21" t="n">
        <v>12.2810474093681</v>
      </c>
      <c r="D8" s="21" t="n">
        <v>10.11174740936811</v>
      </c>
      <c r="E8" s="14" t="n">
        <v>6.857797409368105</v>
      </c>
      <c r="F8" s="22" t="n">
        <v>0.3129709284507922</v>
      </c>
      <c r="G8" s="22" t="n">
        <v>0.2659874327703937</v>
      </c>
      <c r="H8" s="22" t="n">
        <v>0.2190039370899952</v>
      </c>
      <c r="I8" s="11" t="n">
        <v>0.1485286935693975</v>
      </c>
    </row>
    <row r="9">
      <c r="A9" s="3" t="inlineStr">
        <is>
          <t>2,000万円/坪</t>
        </is>
      </c>
      <c r="B9" s="21" t="n">
        <v>19.31118375255687</v>
      </c>
      <c r="C9" s="21" t="n">
        <v>17.14188375255687</v>
      </c>
      <c r="D9" s="21" t="n">
        <v>14.97258375255687</v>
      </c>
      <c r="E9" s="21" t="n">
        <v>11.71863375255687</v>
      </c>
      <c r="F9" s="22" t="n">
        <v>0.3764238356057129</v>
      </c>
      <c r="G9" s="22" t="n">
        <v>0.3341386894933543</v>
      </c>
      <c r="H9" s="22" t="n">
        <v>0.2918535433809957</v>
      </c>
      <c r="I9" s="22" t="n">
        <v>0.2284258242124578</v>
      </c>
    </row>
    <row r="12">
      <c r="A12" s="8" t="inlineStr">
        <is>
          <t>容積率ケース（分譲・坪1,500万・土地25億）</t>
        </is>
      </c>
    </row>
    <row r="13">
      <c r="A13" s="2" t="inlineStr">
        <is>
          <t>ケース</t>
        </is>
      </c>
      <c r="B13" s="2" t="inlineStr">
        <is>
          <t>許容容積率</t>
        </is>
      </c>
      <c r="C13" s="2" t="inlineStr">
        <is>
          <t>専有面積(坪)</t>
        </is>
      </c>
      <c r="D13" s="2" t="inlineStr">
        <is>
          <t>事業利益(億)</t>
        </is>
      </c>
      <c r="E13" s="2" t="inlineStr">
        <is>
          <t>利益率</t>
        </is>
      </c>
    </row>
    <row r="14">
      <c r="A14" s="3" t="inlineStr">
        <is>
          <t>保守（全て一住・道路幅員284%）</t>
        </is>
      </c>
      <c r="B14" s="11" t="n">
        <v>2.84</v>
      </c>
      <c r="C14" s="15" t="n">
        <v>241.7001261423139</v>
      </c>
      <c r="D14" s="9" t="n">
        <v>-2.053995625670419</v>
      </c>
      <c r="E14" s="11" t="n">
        <v>-0.05665410436349321</v>
      </c>
    </row>
    <row r="15">
      <c r="A15" s="3" t="inlineStr">
        <is>
          <t>基準（近商15%）</t>
        </is>
      </c>
      <c r="B15" s="11" t="n">
        <v>3.014</v>
      </c>
      <c r="C15" s="15" t="n">
        <v>256.5085141524416</v>
      </c>
      <c r="D15" s="9" t="n">
        <v>-0.4334571054150486</v>
      </c>
      <c r="E15" s="11" t="n">
        <v>-0.01126556771672297</v>
      </c>
    </row>
    <row r="16">
      <c r="A16" s="3" t="inlineStr">
        <is>
          <t>上振れ（近商40%）</t>
        </is>
      </c>
      <c r="B16" s="11" t="n">
        <v>3.304</v>
      </c>
      <c r="C16" s="15" t="n">
        <v>281.1891608359878</v>
      </c>
      <c r="D16" s="9" t="n">
        <v>2.267440428343916</v>
      </c>
      <c r="E16" s="11" t="n">
        <v>0.0537583649289732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</cols>
  <sheetData>
    <row r="1">
      <c r="A1" s="1" t="inlineStr">
        <is>
          <t>残余法による土地価格（用途別に支払可能な上限）</t>
        </is>
      </c>
    </row>
    <row r="3">
      <c r="A3" s="2" t="inlineStr">
        <is>
          <t>用途・条件</t>
        </is>
      </c>
      <c r="B3" s="2" t="inlineStr">
        <is>
          <t>土地価格(億円)</t>
        </is>
      </c>
      <c r="C3" s="2" t="inlineStr">
        <is>
          <t>坪単価(万円)</t>
        </is>
      </c>
    </row>
    <row r="4">
      <c r="A4" s="3" t="inlineStr">
        <is>
          <t>分譲(坪1,500万・利益率15%)</t>
        </is>
      </c>
      <c r="B4" s="9" t="n">
        <v>19.27935400927029</v>
      </c>
      <c r="C4" s="10" t="n">
        <v>1925.541426940561</v>
      </c>
    </row>
    <row r="5">
      <c r="A5" s="3" t="inlineStr">
        <is>
          <t>分譲(坪1,800万・利益率15%)</t>
        </is>
      </c>
      <c r="B5" s="9" t="n">
        <v>24.93736922256229</v>
      </c>
      <c r="C5" s="10" t="n">
        <v>2490.640375910274</v>
      </c>
    </row>
    <row r="6">
      <c r="A6" s="3" t="inlineStr">
        <is>
          <t>ホテル(アップスケール・収益価格=事業費)</t>
        </is>
      </c>
      <c r="B6" s="9" t="n">
        <v>7.7563749350721</v>
      </c>
      <c r="C6" s="10" t="n">
        <v>774.6743616608356</v>
      </c>
    </row>
    <row r="7">
      <c r="A7" s="3" t="inlineStr">
        <is>
          <t>ホテル(ラグジュアリー・収益価格=事業費)</t>
        </is>
      </c>
      <c r="B7" s="9" t="n">
        <v>14.44617178994579</v>
      </c>
      <c r="C7" s="10" t="n">
        <v>1442.823355433243</v>
      </c>
    </row>
    <row r="8">
      <c r="A8" s="3" t="inlineStr">
        <is>
          <t>賃貸レジデンス(収益価格=事業費)</t>
        </is>
      </c>
      <c r="B8" s="9" t="n">
        <v>1.734723475976807e-17</v>
      </c>
      <c r="C8" s="10" t="n">
        <v>1.732569418909746e-15</v>
      </c>
    </row>
    <row r="9">
      <c r="A9" s="3" t="inlineStr">
        <is>
          <t>店舗ビル建替(収益価格=事業費)</t>
        </is>
      </c>
      <c r="B9" s="9" t="n">
        <v>7.405055832117579</v>
      </c>
      <c r="C9" s="10" t="n">
        <v>739.5860756897783</v>
      </c>
    </row>
    <row r="10">
      <c r="A10" s="3" t="inlineStr">
        <is>
          <t>現況保有(収益価格=取得費)</t>
        </is>
      </c>
      <c r="B10" s="9" t="n">
        <v>17.10438196653298</v>
      </c>
      <c r="C10" s="10" t="n">
        <v>1708.314295330526</v>
      </c>
    </row>
    <row r="12">
      <c r="A12" s="8" t="inlineStr">
        <is>
          <t>募集価格 25.00億円 = 2,497万円/坪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2026-09-08T02:41:12Z</dcterms:created>
  <dcterms:modified xsi:type="dcterms:W3CDTF">2026-09-08T02:41:12Z</dcterms:modified>
</cp:coreProperties>
</file>